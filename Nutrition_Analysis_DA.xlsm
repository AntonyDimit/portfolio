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portfolio_data_analysis\"/>
    </mc:Choice>
  </mc:AlternateContent>
  <xr:revisionPtr revIDLastSave="0" documentId="13_ncr:1_{07485FE0-7A9F-4937-9B7D-83D07B05FA6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Variety of foods" sheetId="1" r:id="rId1"/>
    <sheet name="calorie diary" sheetId="2" state="hidden" r:id="rId2"/>
    <sheet name="calorie diary table" sheetId="3" r:id="rId3"/>
    <sheet name="calorie daily budget" sheetId="4" r:id="rId4"/>
    <sheet name="Daily habits" sheetId="5" r:id="rId5"/>
    <sheet name="Most preferred food &amp; exercise" sheetId="8" r:id="rId6"/>
    <sheet name="Calories Boxplots" sheetId="11" r:id="rId7"/>
    <sheet name="Normality_check" sheetId="9" r:id="rId8"/>
    <sheet name="T-test statistical important" sheetId="10" r:id="rId9"/>
    <sheet name="Time_Series_Forecast_mov_avg" sheetId="12" r:id="rId10"/>
    <sheet name="Optimization_mov_avg" sheetId="13" r:id="rId11"/>
    <sheet name="Time_Series_Forecast_AutoRegres" sheetId="14" r:id="rId12"/>
    <sheet name="Forecast_using_Macros" sheetId="18" r:id="rId13"/>
    <sheet name="Forecast_ARMA_ARIMA" sheetId="16" r:id="rId14"/>
    <sheet name="Optimization_ARIMA" sheetId="17" r:id="rId15"/>
  </sheets>
  <definedNames>
    <definedName name="_xlchart.v1.0" hidden="1">'calorie daily budget'!$D$1</definedName>
    <definedName name="_xlchart.v1.1" hidden="1">'calorie daily budget'!$D$2:$D$32</definedName>
    <definedName name="_xlchart.v1.10" hidden="1">'calorie diary table'!$BA$1</definedName>
    <definedName name="_xlchart.v1.11" hidden="1">'calorie diary table'!$BA$2:$BA$32</definedName>
    <definedName name="_xlchart.v1.12" hidden="1">'calorie diary table'!$BG$1</definedName>
    <definedName name="_xlchart.v1.13" hidden="1">'calorie diary table'!$BG$2:$BG$32</definedName>
    <definedName name="_xlchart.v1.2" hidden="1">'calorie daily budget'!$F$1</definedName>
    <definedName name="_xlchart.v1.3" hidden="1">'calorie daily budget'!$F$2:$F$32</definedName>
    <definedName name="_xlchart.v1.4" hidden="1">'calorie diary table'!$AI$1</definedName>
    <definedName name="_xlchart.v1.5" hidden="1">'calorie diary table'!$AI$2:$AI$32</definedName>
    <definedName name="_xlchart.v1.6" hidden="1">'calorie diary table'!$AO$1</definedName>
    <definedName name="_xlchart.v1.7" hidden="1">'calorie diary table'!$AO$2:$AO$32</definedName>
    <definedName name="_xlchart.v1.8" hidden="1">'calorie diary table'!$AU$1</definedName>
    <definedName name="_xlchart.v1.9" hidden="1">'calorie diary table'!$AU$2:$AU$32</definedName>
    <definedName name="exercise">'Variety of foods'!$H$1:$J$6</definedName>
    <definedName name="food">'Variety of foods'!$B$1:$D$61</definedName>
    <definedName name="solver_adj" localSheetId="13" hidden="1">Forecast_ARMA_ARIMA!$L$44</definedName>
    <definedName name="solver_adj" localSheetId="14" hidden="1">Optimization_ARIMA!$P$3</definedName>
    <definedName name="solver_adj" localSheetId="10" hidden="1">Optimization_mov_avg!$I$8</definedName>
    <definedName name="solver_cvg" localSheetId="13" hidden="1">0.0001</definedName>
    <definedName name="solver_cvg" localSheetId="14" hidden="1">0.0001</definedName>
    <definedName name="solver_cvg" localSheetId="10" hidden="1">0.0001</definedName>
    <definedName name="solver_drv" localSheetId="13" hidden="1">1</definedName>
    <definedName name="solver_drv" localSheetId="14" hidden="1">1</definedName>
    <definedName name="solver_drv" localSheetId="10" hidden="1">1</definedName>
    <definedName name="solver_eng" localSheetId="13" hidden="1">3</definedName>
    <definedName name="solver_eng" localSheetId="14" hidden="1">3</definedName>
    <definedName name="solver_eng" localSheetId="10" hidden="1">3</definedName>
    <definedName name="solver_est" localSheetId="13" hidden="1">1</definedName>
    <definedName name="solver_est" localSheetId="14" hidden="1">1</definedName>
    <definedName name="solver_est" localSheetId="10" hidden="1">1</definedName>
    <definedName name="solver_itr" localSheetId="13" hidden="1">2147483647</definedName>
    <definedName name="solver_itr" localSheetId="14" hidden="1">2147483647</definedName>
    <definedName name="solver_itr" localSheetId="10" hidden="1">2147483647</definedName>
    <definedName name="solver_lhs1" localSheetId="13" hidden="1">Forecast_ARMA_ARIMA!$L$44</definedName>
    <definedName name="solver_lhs1" localSheetId="14" hidden="1">Optimization_ARIMA!$P$3</definedName>
    <definedName name="solver_lhs1" localSheetId="10" hidden="1">Optimization_mov_avg!$I$8</definedName>
    <definedName name="solver_lhs2" localSheetId="13" hidden="1">Forecast_ARMA_ARIMA!$L$44</definedName>
    <definedName name="solver_lhs2" localSheetId="14" hidden="1">Optimization_ARIMA!$P$3</definedName>
    <definedName name="solver_lhs2" localSheetId="10" hidden="1">Optimization_mov_avg!$I$8</definedName>
    <definedName name="solver_lhs3" localSheetId="10" hidden="1">Optimization_mov_avg!$I$5</definedName>
    <definedName name="solver_lhs4" localSheetId="10" hidden="1">Optimization_mov_avg!$I$6</definedName>
    <definedName name="solver_mip" localSheetId="13" hidden="1">2147483647</definedName>
    <definedName name="solver_mip" localSheetId="14" hidden="1">2147483647</definedName>
    <definedName name="solver_mip" localSheetId="10" hidden="1">2147483647</definedName>
    <definedName name="solver_mni" localSheetId="13" hidden="1">30</definedName>
    <definedName name="solver_mni" localSheetId="14" hidden="1">30</definedName>
    <definedName name="solver_mni" localSheetId="10" hidden="1">30</definedName>
    <definedName name="solver_mrt" localSheetId="13" hidden="1">0.075</definedName>
    <definedName name="solver_mrt" localSheetId="14" hidden="1">0.075</definedName>
    <definedName name="solver_mrt" localSheetId="10" hidden="1">0.075</definedName>
    <definedName name="solver_msl" localSheetId="13" hidden="1">2</definedName>
    <definedName name="solver_msl" localSheetId="14" hidden="1">2</definedName>
    <definedName name="solver_msl" localSheetId="10" hidden="1">2</definedName>
    <definedName name="solver_neg" localSheetId="13" hidden="1">1</definedName>
    <definedName name="solver_neg" localSheetId="14" hidden="1">1</definedName>
    <definedName name="solver_neg" localSheetId="10" hidden="1">1</definedName>
    <definedName name="solver_nod" localSheetId="13" hidden="1">2147483647</definedName>
    <definedName name="solver_nod" localSheetId="14" hidden="1">2147483647</definedName>
    <definedName name="solver_nod" localSheetId="10" hidden="1">2147483647</definedName>
    <definedName name="solver_num" localSheetId="13" hidden="1">2</definedName>
    <definedName name="solver_num" localSheetId="14" hidden="1">2</definedName>
    <definedName name="solver_num" localSheetId="10" hidden="1">2</definedName>
    <definedName name="solver_nwt" localSheetId="13" hidden="1">1</definedName>
    <definedName name="solver_nwt" localSheetId="14" hidden="1">1</definedName>
    <definedName name="solver_nwt" localSheetId="10" hidden="1">1</definedName>
    <definedName name="solver_opt" localSheetId="13" hidden="1">Forecast_ARMA_ARIMA!$P$43</definedName>
    <definedName name="solver_opt" localSheetId="14" hidden="1">Optimization_ARIMA!$K$2</definedName>
    <definedName name="solver_opt" localSheetId="10" hidden="1">Optimization_mov_avg!$I$13</definedName>
    <definedName name="solver_pre" localSheetId="13" hidden="1">0.000001</definedName>
    <definedName name="solver_pre" localSheetId="14" hidden="1">0.000001</definedName>
    <definedName name="solver_pre" localSheetId="10" hidden="1">0.000001</definedName>
    <definedName name="solver_rbv" localSheetId="13" hidden="1">1</definedName>
    <definedName name="solver_rbv" localSheetId="14" hidden="1">1</definedName>
    <definedName name="solver_rbv" localSheetId="10" hidden="1">1</definedName>
    <definedName name="solver_rel1" localSheetId="13" hidden="1">1</definedName>
    <definedName name="solver_rel1" localSheetId="14" hidden="1">1</definedName>
    <definedName name="solver_rel1" localSheetId="10" hidden="1">1</definedName>
    <definedName name="solver_rel2" localSheetId="13" hidden="1">3</definedName>
    <definedName name="solver_rel2" localSheetId="14" hidden="1">3</definedName>
    <definedName name="solver_rel2" localSheetId="10" hidden="1">3</definedName>
    <definedName name="solver_rel3" localSheetId="10" hidden="1">3</definedName>
    <definedName name="solver_rel4" localSheetId="10" hidden="1">1</definedName>
    <definedName name="solver_rhs1" localSheetId="13" hidden="1">1</definedName>
    <definedName name="solver_rhs1" localSheetId="14" hidden="1">1</definedName>
    <definedName name="solver_rhs1" localSheetId="10" hidden="1">1</definedName>
    <definedName name="solver_rhs2" localSheetId="13" hidden="1">0</definedName>
    <definedName name="solver_rhs2" localSheetId="14" hidden="1">0</definedName>
    <definedName name="solver_rhs2" localSheetId="10" hidden="1">0</definedName>
    <definedName name="solver_rhs3" localSheetId="10" hidden="1">0</definedName>
    <definedName name="solver_rhs4" localSheetId="10" hidden="1">1</definedName>
    <definedName name="solver_rlx" localSheetId="13" hidden="1">2</definedName>
    <definedName name="solver_rlx" localSheetId="14" hidden="1">2</definedName>
    <definedName name="solver_rlx" localSheetId="10" hidden="1">2</definedName>
    <definedName name="solver_rsd" localSheetId="13" hidden="1">0</definedName>
    <definedName name="solver_rsd" localSheetId="14" hidden="1">0</definedName>
    <definedName name="solver_rsd" localSheetId="10" hidden="1">0</definedName>
    <definedName name="solver_scl" localSheetId="13" hidden="1">1</definedName>
    <definedName name="solver_scl" localSheetId="14" hidden="1">1</definedName>
    <definedName name="solver_scl" localSheetId="10" hidden="1">1</definedName>
    <definedName name="solver_sho" localSheetId="13" hidden="1">2</definedName>
    <definedName name="solver_sho" localSheetId="14" hidden="1">2</definedName>
    <definedName name="solver_sho" localSheetId="10" hidden="1">2</definedName>
    <definedName name="solver_ssz" localSheetId="13" hidden="1">100</definedName>
    <definedName name="solver_ssz" localSheetId="14" hidden="1">100</definedName>
    <definedName name="solver_ssz" localSheetId="10" hidden="1">100</definedName>
    <definedName name="solver_tim" localSheetId="13" hidden="1">2147483647</definedName>
    <definedName name="solver_tim" localSheetId="14" hidden="1">2147483647</definedName>
    <definedName name="solver_tim" localSheetId="10" hidden="1">2147483647</definedName>
    <definedName name="solver_tol" localSheetId="13" hidden="1">0.01</definedName>
    <definedName name="solver_tol" localSheetId="14" hidden="1">0.01</definedName>
    <definedName name="solver_tol" localSheetId="10" hidden="1">0.01</definedName>
    <definedName name="solver_typ" localSheetId="13" hidden="1">2</definedName>
    <definedName name="solver_typ" localSheetId="14" hidden="1">2</definedName>
    <definedName name="solver_typ" localSheetId="10" hidden="1">2</definedName>
    <definedName name="solver_val" localSheetId="13" hidden="1">0</definedName>
    <definedName name="solver_val" localSheetId="14" hidden="1">0</definedName>
    <definedName name="solver_val" localSheetId="10" hidden="1">0</definedName>
    <definedName name="solver_ver" localSheetId="13" hidden="1">3</definedName>
    <definedName name="solver_ver" localSheetId="14" hidden="1">3</definedName>
    <definedName name="solver_ver" localSheetId="10" hidden="1">3</definedName>
  </definedNames>
  <calcPr calcId="191029"/>
  <pivotCaches>
    <pivotCache cacheId="0" r:id="rId16"/>
    <pivotCache cacheId="1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3" i="18" l="1"/>
  <c r="G32" i="18"/>
  <c r="H32" i="18" s="1"/>
  <c r="G31" i="18"/>
  <c r="H31" i="18" s="1"/>
  <c r="G30" i="18"/>
  <c r="H30" i="18" s="1"/>
  <c r="G29" i="18"/>
  <c r="H29" i="18" s="1"/>
  <c r="G28" i="18"/>
  <c r="H28" i="18" s="1"/>
  <c r="G27" i="18"/>
  <c r="H27" i="18" s="1"/>
  <c r="G26" i="18"/>
  <c r="H26" i="18" s="1"/>
  <c r="G25" i="18"/>
  <c r="H25" i="18" s="1"/>
  <c r="G24" i="18"/>
  <c r="H24" i="18" s="1"/>
  <c r="G23" i="18"/>
  <c r="H23" i="18" s="1"/>
  <c r="G22" i="18"/>
  <c r="H22" i="18" s="1"/>
  <c r="G21" i="18"/>
  <c r="H21" i="18" s="1"/>
  <c r="G20" i="18"/>
  <c r="H20" i="18" s="1"/>
  <c r="G19" i="18"/>
  <c r="H19" i="18" s="1"/>
  <c r="G18" i="18"/>
  <c r="H18" i="18" s="1"/>
  <c r="G17" i="18"/>
  <c r="H17" i="18" s="1"/>
  <c r="G16" i="18"/>
  <c r="H16" i="18" s="1"/>
  <c r="G15" i="18"/>
  <c r="H15" i="18" s="1"/>
  <c r="G14" i="18"/>
  <c r="H14" i="18" s="1"/>
  <c r="G13" i="18"/>
  <c r="H13" i="18" s="1"/>
  <c r="G12" i="18"/>
  <c r="H12" i="18" s="1"/>
  <c r="G11" i="18"/>
  <c r="H11" i="18" s="1"/>
  <c r="G10" i="18"/>
  <c r="H10" i="18" s="1"/>
  <c r="G9" i="18"/>
  <c r="H9" i="18" s="1"/>
  <c r="G8" i="18"/>
  <c r="H8" i="18" s="1"/>
  <c r="G7" i="18"/>
  <c r="H7" i="18" s="1"/>
  <c r="G6" i="18"/>
  <c r="H6" i="18" s="1"/>
  <c r="G5" i="18"/>
  <c r="H5" i="18" s="1"/>
  <c r="L6" i="17"/>
  <c r="M6" i="17" s="1"/>
  <c r="P4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6" i="17"/>
  <c r="D4" i="17"/>
  <c r="D5" i="17"/>
  <c r="D6" i="17"/>
  <c r="D7" i="17"/>
  <c r="I10" i="17" s="1"/>
  <c r="D8" i="17"/>
  <c r="D9" i="17"/>
  <c r="D10" i="17"/>
  <c r="D11" i="17"/>
  <c r="D12" i="17"/>
  <c r="D13" i="17"/>
  <c r="D14" i="17"/>
  <c r="D15" i="17"/>
  <c r="I18" i="17" s="1"/>
  <c r="D16" i="17"/>
  <c r="I19" i="17" s="1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" i="17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46" i="16"/>
  <c r="N43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45" i="16"/>
  <c r="N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44" i="16"/>
  <c r="L45" i="16"/>
  <c r="G49" i="16" s="1"/>
  <c r="P49" i="16" s="1"/>
  <c r="H10" i="16"/>
  <c r="O10" i="16" s="1"/>
  <c r="H11" i="16"/>
  <c r="O11" i="16" s="1"/>
  <c r="H12" i="16"/>
  <c r="O12" i="16" s="1"/>
  <c r="H13" i="16"/>
  <c r="O13" i="16" s="1"/>
  <c r="H14" i="16"/>
  <c r="O14" i="16" s="1"/>
  <c r="H15" i="16"/>
  <c r="O15" i="16" s="1"/>
  <c r="H16" i="16"/>
  <c r="O16" i="16" s="1"/>
  <c r="H17" i="16"/>
  <c r="H18" i="16"/>
  <c r="O18" i="16" s="1"/>
  <c r="H19" i="16"/>
  <c r="O19" i="16" s="1"/>
  <c r="H20" i="16"/>
  <c r="O20" i="16" s="1"/>
  <c r="H21" i="16"/>
  <c r="H22" i="16"/>
  <c r="O22" i="16" s="1"/>
  <c r="H23" i="16"/>
  <c r="H24" i="16"/>
  <c r="O24" i="16" s="1"/>
  <c r="H25" i="16"/>
  <c r="O25" i="16" s="1"/>
  <c r="H26" i="16"/>
  <c r="O26" i="16" s="1"/>
  <c r="H27" i="16"/>
  <c r="O27" i="16" s="1"/>
  <c r="H28" i="16"/>
  <c r="O28" i="16" s="1"/>
  <c r="H29" i="16"/>
  <c r="O29" i="16" s="1"/>
  <c r="H30" i="16"/>
  <c r="O30" i="16" s="1"/>
  <c r="H31" i="16"/>
  <c r="O31" i="16" s="1"/>
  <c r="H32" i="16"/>
  <c r="O32" i="16" s="1"/>
  <c r="H33" i="16"/>
  <c r="H34" i="16"/>
  <c r="O34" i="16" s="1"/>
  <c r="H35" i="16"/>
  <c r="O35" i="16" s="1"/>
  <c r="H36" i="16"/>
  <c r="O36" i="16" s="1"/>
  <c r="H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9" i="16"/>
  <c r="L8" i="16"/>
  <c r="G33" i="14"/>
  <c r="K32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5" i="14"/>
  <c r="K32" i="18" l="1"/>
  <c r="I25" i="17"/>
  <c r="J25" i="17" s="1"/>
  <c r="I17" i="17"/>
  <c r="J17" i="17" s="1"/>
  <c r="I9" i="17"/>
  <c r="J9" i="17" s="1"/>
  <c r="I14" i="17"/>
  <c r="J14" i="17" s="1"/>
  <c r="L15" i="17" s="1"/>
  <c r="M15" i="17" s="1"/>
  <c r="I22" i="17"/>
  <c r="J22" i="17" s="1"/>
  <c r="I30" i="17"/>
  <c r="J30" i="17" s="1"/>
  <c r="L31" i="17" s="1"/>
  <c r="M31" i="17" s="1"/>
  <c r="I6" i="17"/>
  <c r="J6" i="17" s="1"/>
  <c r="L7" i="17" s="1"/>
  <c r="M7" i="17" s="1"/>
  <c r="J18" i="17"/>
  <c r="L19" i="17" s="1"/>
  <c r="M19" i="17" s="1"/>
  <c r="J10" i="17"/>
  <c r="L11" i="17" s="1"/>
  <c r="M11" i="17" s="1"/>
  <c r="I29" i="17"/>
  <c r="J29" i="17" s="1"/>
  <c r="I21" i="17"/>
  <c r="J21" i="17" s="1"/>
  <c r="I13" i="17"/>
  <c r="J13" i="17" s="1"/>
  <c r="I28" i="17"/>
  <c r="J28" i="17" s="1"/>
  <c r="I20" i="17"/>
  <c r="J20" i="17" s="1"/>
  <c r="I12" i="17"/>
  <c r="J12" i="17" s="1"/>
  <c r="I32" i="17"/>
  <c r="J32" i="17" s="1"/>
  <c r="I24" i="17"/>
  <c r="J24" i="17" s="1"/>
  <c r="I16" i="17"/>
  <c r="J16" i="17" s="1"/>
  <c r="I8" i="17"/>
  <c r="J8" i="17" s="1"/>
  <c r="I31" i="17"/>
  <c r="J31" i="17" s="1"/>
  <c r="I23" i="17"/>
  <c r="J23" i="17" s="1"/>
  <c r="I15" i="17"/>
  <c r="J15" i="17" s="1"/>
  <c r="I7" i="17"/>
  <c r="J7" i="17" s="1"/>
  <c r="K7" i="17" s="1"/>
  <c r="I11" i="17"/>
  <c r="J11" i="17" s="1"/>
  <c r="I27" i="17"/>
  <c r="J27" i="17" s="1"/>
  <c r="I26" i="17"/>
  <c r="J26" i="17" s="1"/>
  <c r="J19" i="17"/>
  <c r="G72" i="16"/>
  <c r="P72" i="16" s="1"/>
  <c r="G63" i="16"/>
  <c r="P63" i="16" s="1"/>
  <c r="G55" i="16"/>
  <c r="P55" i="16" s="1"/>
  <c r="G47" i="16"/>
  <c r="P47" i="16" s="1"/>
  <c r="G62" i="16"/>
  <c r="P62" i="16" s="1"/>
  <c r="G59" i="16"/>
  <c r="P59" i="16" s="1"/>
  <c r="G46" i="16"/>
  <c r="P46" i="16" s="1"/>
  <c r="G56" i="16"/>
  <c r="P56" i="16" s="1"/>
  <c r="G70" i="16"/>
  <c r="P70" i="16" s="1"/>
  <c r="G54" i="16"/>
  <c r="P54" i="16" s="1"/>
  <c r="G67" i="16"/>
  <c r="P67" i="16" s="1"/>
  <c r="G50" i="16"/>
  <c r="P50" i="16" s="1"/>
  <c r="G66" i="16"/>
  <c r="P66" i="16" s="1"/>
  <c r="G48" i="16"/>
  <c r="P48" i="16" s="1"/>
  <c r="G71" i="16"/>
  <c r="P71" i="16" s="1"/>
  <c r="G58" i="16"/>
  <c r="P58" i="16" s="1"/>
  <c r="G64" i="16"/>
  <c r="P64" i="16" s="1"/>
  <c r="G51" i="16"/>
  <c r="P51" i="16" s="1"/>
  <c r="G69" i="16"/>
  <c r="P69" i="16" s="1"/>
  <c r="G61" i="16"/>
  <c r="P61" i="16" s="1"/>
  <c r="G53" i="16"/>
  <c r="P53" i="16" s="1"/>
  <c r="G68" i="16"/>
  <c r="P68" i="16" s="1"/>
  <c r="G60" i="16"/>
  <c r="P60" i="16" s="1"/>
  <c r="G52" i="16"/>
  <c r="P52" i="16" s="1"/>
  <c r="G73" i="16"/>
  <c r="P73" i="16" s="1"/>
  <c r="G65" i="16"/>
  <c r="P65" i="16" s="1"/>
  <c r="G57" i="16"/>
  <c r="P57" i="16" s="1"/>
  <c r="I33" i="16"/>
  <c r="P33" i="16" s="1"/>
  <c r="I17" i="16"/>
  <c r="P17" i="16" s="1"/>
  <c r="I15" i="16"/>
  <c r="P15" i="16" s="1"/>
  <c r="I23" i="16"/>
  <c r="P23" i="16" s="1"/>
  <c r="I21" i="16"/>
  <c r="P21" i="16" s="1"/>
  <c r="N6" i="16"/>
  <c r="O33" i="16"/>
  <c r="O21" i="16"/>
  <c r="O17" i="16"/>
  <c r="O23" i="16"/>
  <c r="I19" i="16"/>
  <c r="P19" i="16" s="1"/>
  <c r="I12" i="16"/>
  <c r="P12" i="16" s="1"/>
  <c r="I22" i="16"/>
  <c r="P22" i="16" s="1"/>
  <c r="I11" i="16"/>
  <c r="P11" i="16" s="1"/>
  <c r="I14" i="16"/>
  <c r="P14" i="16" s="1"/>
  <c r="I9" i="16"/>
  <c r="P9" i="16" s="1"/>
  <c r="I36" i="16"/>
  <c r="P36" i="16" s="1"/>
  <c r="I26" i="16"/>
  <c r="P26" i="16" s="1"/>
  <c r="I29" i="16"/>
  <c r="P29" i="16" s="1"/>
  <c r="I25" i="16"/>
  <c r="P25" i="16" s="1"/>
  <c r="I35" i="16"/>
  <c r="P35" i="16" s="1"/>
  <c r="I28" i="16"/>
  <c r="P28" i="16" s="1"/>
  <c r="I18" i="16"/>
  <c r="P18" i="16" s="1"/>
  <c r="I34" i="16"/>
  <c r="P34" i="16" s="1"/>
  <c r="I10" i="16"/>
  <c r="P10" i="16" s="1"/>
  <c r="I27" i="16"/>
  <c r="P27" i="16" s="1"/>
  <c r="I13" i="16"/>
  <c r="P13" i="16" s="1"/>
  <c r="I32" i="16"/>
  <c r="P32" i="16" s="1"/>
  <c r="I24" i="16"/>
  <c r="P24" i="16" s="1"/>
  <c r="I16" i="16"/>
  <c r="P16" i="16" s="1"/>
  <c r="I31" i="16"/>
  <c r="P31" i="16" s="1"/>
  <c r="I20" i="16"/>
  <c r="P20" i="16" s="1"/>
  <c r="I30" i="16"/>
  <c r="P30" i="16" s="1"/>
  <c r="O9" i="16"/>
  <c r="K32" i="17" l="1"/>
  <c r="L33" i="17"/>
  <c r="K14" i="17"/>
  <c r="K10" i="17"/>
  <c r="K18" i="17"/>
  <c r="K30" i="17"/>
  <c r="L27" i="17"/>
  <c r="M27" i="17" s="1"/>
  <c r="K26" i="17"/>
  <c r="L9" i="17"/>
  <c r="M9" i="17" s="1"/>
  <c r="K8" i="17"/>
  <c r="L21" i="17"/>
  <c r="M21" i="17" s="1"/>
  <c r="K20" i="17"/>
  <c r="L28" i="17"/>
  <c r="M28" i="17" s="1"/>
  <c r="K27" i="17"/>
  <c r="L25" i="17"/>
  <c r="M25" i="17" s="1"/>
  <c r="K24" i="17"/>
  <c r="L17" i="17"/>
  <c r="M17" i="17" s="1"/>
  <c r="K16" i="17"/>
  <c r="L12" i="17"/>
  <c r="M12" i="17" s="1"/>
  <c r="K11" i="17"/>
  <c r="L14" i="17"/>
  <c r="M14" i="17" s="1"/>
  <c r="K13" i="17"/>
  <c r="L29" i="17"/>
  <c r="M29" i="17" s="1"/>
  <c r="K28" i="17"/>
  <c r="L20" i="17"/>
  <c r="M20" i="17" s="1"/>
  <c r="K19" i="17"/>
  <c r="L10" i="17"/>
  <c r="M10" i="17" s="1"/>
  <c r="K9" i="17"/>
  <c r="L23" i="17"/>
  <c r="M23" i="17" s="1"/>
  <c r="K22" i="17"/>
  <c r="L16" i="17"/>
  <c r="M16" i="17" s="1"/>
  <c r="K15" i="17"/>
  <c r="L18" i="17"/>
  <c r="M18" i="17" s="1"/>
  <c r="K17" i="17"/>
  <c r="L30" i="17"/>
  <c r="M30" i="17" s="1"/>
  <c r="K29" i="17"/>
  <c r="L24" i="17"/>
  <c r="M24" i="17" s="1"/>
  <c r="K23" i="17"/>
  <c r="L26" i="17"/>
  <c r="M26" i="17" s="1"/>
  <c r="K25" i="17"/>
  <c r="L22" i="17"/>
  <c r="M22" i="17" s="1"/>
  <c r="K21" i="17"/>
  <c r="L32" i="17"/>
  <c r="M32" i="17" s="1"/>
  <c r="K31" i="17"/>
  <c r="L13" i="17"/>
  <c r="M13" i="17" s="1"/>
  <c r="K12" i="17"/>
  <c r="K6" i="17"/>
  <c r="L8" i="17"/>
  <c r="M8" i="17" s="1"/>
  <c r="O43" i="16"/>
  <c r="P43" i="16"/>
  <c r="P6" i="16"/>
  <c r="O6" i="16"/>
  <c r="M2" i="17" l="1"/>
  <c r="K2" i="17"/>
  <c r="E35" i="13"/>
  <c r="D35" i="13"/>
  <c r="E34" i="13"/>
  <c r="N34" i="13" s="1"/>
  <c r="D34" i="13"/>
  <c r="M34" i="13" s="1"/>
  <c r="E33" i="13"/>
  <c r="N33" i="13" s="1"/>
  <c r="D33" i="13"/>
  <c r="M33" i="13" s="1"/>
  <c r="E32" i="13"/>
  <c r="N32" i="13" s="1"/>
  <c r="D32" i="13"/>
  <c r="M32" i="13" s="1"/>
  <c r="E31" i="13"/>
  <c r="N31" i="13" s="1"/>
  <c r="D31" i="13"/>
  <c r="M31" i="13" s="1"/>
  <c r="E30" i="13"/>
  <c r="N30" i="13" s="1"/>
  <c r="D30" i="13"/>
  <c r="M30" i="13" s="1"/>
  <c r="E29" i="13"/>
  <c r="N29" i="13" s="1"/>
  <c r="D29" i="13"/>
  <c r="M29" i="13" s="1"/>
  <c r="E28" i="13"/>
  <c r="N28" i="13" s="1"/>
  <c r="D28" i="13"/>
  <c r="M28" i="13" s="1"/>
  <c r="E27" i="13"/>
  <c r="N27" i="13" s="1"/>
  <c r="D27" i="13"/>
  <c r="M27" i="13" s="1"/>
  <c r="E26" i="13"/>
  <c r="N26" i="13" s="1"/>
  <c r="D26" i="13"/>
  <c r="M26" i="13" s="1"/>
  <c r="E25" i="13"/>
  <c r="N25" i="13" s="1"/>
  <c r="D25" i="13"/>
  <c r="M25" i="13" s="1"/>
  <c r="E24" i="13"/>
  <c r="N24" i="13" s="1"/>
  <c r="D24" i="13"/>
  <c r="M24" i="13" s="1"/>
  <c r="E23" i="13"/>
  <c r="N23" i="13" s="1"/>
  <c r="D23" i="13"/>
  <c r="M23" i="13" s="1"/>
  <c r="E22" i="13"/>
  <c r="N22" i="13" s="1"/>
  <c r="D22" i="13"/>
  <c r="M22" i="13" s="1"/>
  <c r="E21" i="13"/>
  <c r="N21" i="13" s="1"/>
  <c r="D21" i="13"/>
  <c r="M21" i="13" s="1"/>
  <c r="E20" i="13"/>
  <c r="N20" i="13" s="1"/>
  <c r="D20" i="13"/>
  <c r="M20" i="13" s="1"/>
  <c r="E19" i="13"/>
  <c r="N19" i="13" s="1"/>
  <c r="D19" i="13"/>
  <c r="M19" i="13" s="1"/>
  <c r="E18" i="13"/>
  <c r="N18" i="13" s="1"/>
  <c r="D18" i="13"/>
  <c r="M18" i="13" s="1"/>
  <c r="E17" i="13"/>
  <c r="N17" i="13" s="1"/>
  <c r="D17" i="13"/>
  <c r="M17" i="13" s="1"/>
  <c r="E16" i="13"/>
  <c r="N16" i="13" s="1"/>
  <c r="D16" i="13"/>
  <c r="M16" i="13" s="1"/>
  <c r="E15" i="13"/>
  <c r="N15" i="13" s="1"/>
  <c r="D15" i="13"/>
  <c r="M15" i="13" s="1"/>
  <c r="E14" i="13"/>
  <c r="N14" i="13" s="1"/>
  <c r="D14" i="13"/>
  <c r="M14" i="13" s="1"/>
  <c r="E13" i="13"/>
  <c r="N13" i="13" s="1"/>
  <c r="D13" i="13"/>
  <c r="M13" i="13" s="1"/>
  <c r="E12" i="13"/>
  <c r="N12" i="13" s="1"/>
  <c r="D12" i="13"/>
  <c r="M12" i="13" s="1"/>
  <c r="E11" i="13"/>
  <c r="N11" i="13" s="1"/>
  <c r="D11" i="13"/>
  <c r="M11" i="13" s="1"/>
  <c r="F5" i="13"/>
  <c r="F6" i="13" s="1"/>
  <c r="F7" i="13" s="1"/>
  <c r="O4" i="13"/>
  <c r="F33" i="12"/>
  <c r="E33" i="12"/>
  <c r="D33" i="12"/>
  <c r="I11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2" i="12"/>
  <c r="F4" i="12"/>
  <c r="F5" i="12" s="1"/>
  <c r="F6" i="12" s="1"/>
  <c r="F7" i="12" s="1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F18" i="12" s="1"/>
  <c r="F19" i="12" s="1"/>
  <c r="F20" i="12" s="1"/>
  <c r="F21" i="12" s="1"/>
  <c r="F22" i="12" s="1"/>
  <c r="F23" i="12" s="1"/>
  <c r="F24" i="12" s="1"/>
  <c r="F25" i="12" s="1"/>
  <c r="F26" i="12" s="1"/>
  <c r="F27" i="12" s="1"/>
  <c r="F28" i="12" s="1"/>
  <c r="F29" i="12" s="1"/>
  <c r="F30" i="12" s="1"/>
  <c r="F31" i="12" s="1"/>
  <c r="F32" i="12" s="1"/>
  <c r="F3" i="12"/>
  <c r="E10" i="12"/>
  <c r="L10" i="12" s="1"/>
  <c r="E11" i="12"/>
  <c r="L11" i="12" s="1"/>
  <c r="E12" i="12"/>
  <c r="L12" i="12" s="1"/>
  <c r="E13" i="12"/>
  <c r="L13" i="12" s="1"/>
  <c r="E14" i="12"/>
  <c r="L14" i="12" s="1"/>
  <c r="E15" i="12"/>
  <c r="L15" i="12" s="1"/>
  <c r="E16" i="12"/>
  <c r="L16" i="12" s="1"/>
  <c r="E17" i="12"/>
  <c r="L17" i="12" s="1"/>
  <c r="E18" i="12"/>
  <c r="L18" i="12" s="1"/>
  <c r="E19" i="12"/>
  <c r="L19" i="12" s="1"/>
  <c r="E20" i="12"/>
  <c r="L20" i="12" s="1"/>
  <c r="E21" i="12"/>
  <c r="L21" i="12" s="1"/>
  <c r="E22" i="12"/>
  <c r="L22" i="12" s="1"/>
  <c r="E23" i="12"/>
  <c r="L23" i="12" s="1"/>
  <c r="E24" i="12"/>
  <c r="L24" i="12" s="1"/>
  <c r="E25" i="12"/>
  <c r="L25" i="12" s="1"/>
  <c r="E26" i="12"/>
  <c r="L26" i="12" s="1"/>
  <c r="E27" i="12"/>
  <c r="L27" i="12" s="1"/>
  <c r="E28" i="12"/>
  <c r="L28" i="12" s="1"/>
  <c r="E29" i="12"/>
  <c r="L29" i="12" s="1"/>
  <c r="E30" i="12"/>
  <c r="L30" i="12" s="1"/>
  <c r="E31" i="12"/>
  <c r="L31" i="12" s="1"/>
  <c r="E32" i="12"/>
  <c r="L32" i="12" s="1"/>
  <c r="E9" i="12"/>
  <c r="L9" i="12" s="1"/>
  <c r="D10" i="12"/>
  <c r="K10" i="12" s="1"/>
  <c r="D11" i="12"/>
  <c r="K11" i="12" s="1"/>
  <c r="D12" i="12"/>
  <c r="K12" i="12" s="1"/>
  <c r="D13" i="12"/>
  <c r="K13" i="12" s="1"/>
  <c r="D14" i="12"/>
  <c r="K14" i="12" s="1"/>
  <c r="D15" i="12"/>
  <c r="K15" i="12" s="1"/>
  <c r="D16" i="12"/>
  <c r="K16" i="12" s="1"/>
  <c r="D17" i="12"/>
  <c r="K17" i="12" s="1"/>
  <c r="D18" i="12"/>
  <c r="K18" i="12" s="1"/>
  <c r="D19" i="12"/>
  <c r="K19" i="12" s="1"/>
  <c r="D20" i="12"/>
  <c r="K20" i="12" s="1"/>
  <c r="D21" i="12"/>
  <c r="K21" i="12" s="1"/>
  <c r="D22" i="12"/>
  <c r="K22" i="12" s="1"/>
  <c r="D23" i="12"/>
  <c r="K23" i="12" s="1"/>
  <c r="D24" i="12"/>
  <c r="K24" i="12" s="1"/>
  <c r="D25" i="12"/>
  <c r="K25" i="12" s="1"/>
  <c r="D26" i="12"/>
  <c r="K26" i="12" s="1"/>
  <c r="D27" i="12"/>
  <c r="K27" i="12" s="1"/>
  <c r="D28" i="12"/>
  <c r="K28" i="12" s="1"/>
  <c r="D29" i="12"/>
  <c r="K29" i="12" s="1"/>
  <c r="D30" i="12"/>
  <c r="K30" i="12" s="1"/>
  <c r="D31" i="12"/>
  <c r="K31" i="12" s="1"/>
  <c r="D32" i="12"/>
  <c r="K32" i="12" s="1"/>
  <c r="D9" i="12"/>
  <c r="K9" i="12" s="1"/>
  <c r="G14" i="10"/>
  <c r="O5" i="13" l="1"/>
  <c r="F8" i="13"/>
  <c r="O7" i="13"/>
  <c r="I12" i="13"/>
  <c r="I11" i="13"/>
  <c r="O6" i="13"/>
  <c r="I9" i="12"/>
  <c r="I10" i="12"/>
  <c r="K4" i="9"/>
  <c r="J4" i="9"/>
  <c r="I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4" i="9"/>
  <c r="B2" i="9"/>
  <c r="B1" i="9"/>
  <c r="B1" i="11"/>
  <c r="G3" i="8"/>
  <c r="G4" i="8"/>
  <c r="G5" i="8"/>
  <c r="G6" i="8"/>
  <c r="G2" i="8"/>
  <c r="J7" i="8" s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3" i="8"/>
  <c r="C2" i="8"/>
  <c r="J3" i="8" s="1"/>
  <c r="AD32" i="3"/>
  <c r="AE32" i="3"/>
  <c r="AF32" i="3"/>
  <c r="AG32" i="3"/>
  <c r="AH32" i="3"/>
  <c r="AJ32" i="3"/>
  <c r="AK32" i="3"/>
  <c r="AL32" i="3"/>
  <c r="AM32" i="3"/>
  <c r="AN32" i="3"/>
  <c r="AP32" i="3"/>
  <c r="AQ32" i="3"/>
  <c r="AR32" i="3"/>
  <c r="AS32" i="3"/>
  <c r="AT32" i="3"/>
  <c r="AV32" i="3"/>
  <c r="AW32" i="3"/>
  <c r="AX32" i="3"/>
  <c r="AY32" i="3"/>
  <c r="AZ32" i="3"/>
  <c r="BB32" i="3"/>
  <c r="BC32" i="3"/>
  <c r="BD32" i="3"/>
  <c r="BE32" i="3"/>
  <c r="BF32" i="3"/>
  <c r="AD31" i="3"/>
  <c r="AE31" i="3"/>
  <c r="AF31" i="3"/>
  <c r="AG31" i="3"/>
  <c r="AH31" i="3"/>
  <c r="AJ31" i="3"/>
  <c r="AK31" i="3"/>
  <c r="AL31" i="3"/>
  <c r="AM31" i="3"/>
  <c r="AN31" i="3"/>
  <c r="AP31" i="3"/>
  <c r="AQ31" i="3"/>
  <c r="AR31" i="3"/>
  <c r="AS31" i="3"/>
  <c r="AT31" i="3"/>
  <c r="AV31" i="3"/>
  <c r="AW31" i="3"/>
  <c r="AX31" i="3"/>
  <c r="AY31" i="3"/>
  <c r="AZ31" i="3"/>
  <c r="BB31" i="3"/>
  <c r="BC31" i="3"/>
  <c r="BD31" i="3"/>
  <c r="BE31" i="3"/>
  <c r="BF31" i="3"/>
  <c r="AD30" i="3"/>
  <c r="AE30" i="3"/>
  <c r="AF30" i="3"/>
  <c r="AG30" i="3"/>
  <c r="AH30" i="3"/>
  <c r="AJ30" i="3"/>
  <c r="AK30" i="3"/>
  <c r="AL30" i="3"/>
  <c r="AM30" i="3"/>
  <c r="AN30" i="3"/>
  <c r="AP30" i="3"/>
  <c r="AQ30" i="3"/>
  <c r="AR30" i="3"/>
  <c r="AS30" i="3"/>
  <c r="AT30" i="3"/>
  <c r="AV30" i="3"/>
  <c r="AW30" i="3"/>
  <c r="AX30" i="3"/>
  <c r="AY30" i="3"/>
  <c r="AZ30" i="3"/>
  <c r="BB30" i="3"/>
  <c r="BC30" i="3"/>
  <c r="BD30" i="3"/>
  <c r="BE30" i="3"/>
  <c r="BF30" i="3"/>
  <c r="AD29" i="3"/>
  <c r="AE29" i="3"/>
  <c r="AF29" i="3"/>
  <c r="AG29" i="3"/>
  <c r="AH29" i="3"/>
  <c r="AJ29" i="3"/>
  <c r="AK29" i="3"/>
  <c r="AL29" i="3"/>
  <c r="AM29" i="3"/>
  <c r="AN29" i="3"/>
  <c r="AP29" i="3"/>
  <c r="AQ29" i="3"/>
  <c r="AR29" i="3"/>
  <c r="AS29" i="3"/>
  <c r="AT29" i="3"/>
  <c r="AV29" i="3"/>
  <c r="AW29" i="3"/>
  <c r="AX29" i="3"/>
  <c r="AY29" i="3"/>
  <c r="AZ29" i="3"/>
  <c r="BB29" i="3"/>
  <c r="BC29" i="3"/>
  <c r="BD29" i="3"/>
  <c r="BE29" i="3"/>
  <c r="BF29" i="3"/>
  <c r="AD28" i="3"/>
  <c r="AE28" i="3"/>
  <c r="AF28" i="3"/>
  <c r="AG28" i="3"/>
  <c r="AH28" i="3"/>
  <c r="AJ28" i="3"/>
  <c r="AK28" i="3"/>
  <c r="AL28" i="3"/>
  <c r="AM28" i="3"/>
  <c r="AN28" i="3"/>
  <c r="AP28" i="3"/>
  <c r="AQ28" i="3"/>
  <c r="AR28" i="3"/>
  <c r="AS28" i="3"/>
  <c r="AT28" i="3"/>
  <c r="AV28" i="3"/>
  <c r="AW28" i="3"/>
  <c r="AX28" i="3"/>
  <c r="AY28" i="3"/>
  <c r="AZ28" i="3"/>
  <c r="BB28" i="3"/>
  <c r="BC28" i="3"/>
  <c r="BD28" i="3"/>
  <c r="BE28" i="3"/>
  <c r="BF28" i="3"/>
  <c r="AD27" i="3"/>
  <c r="AE27" i="3"/>
  <c r="AF27" i="3"/>
  <c r="AG27" i="3"/>
  <c r="AH27" i="3"/>
  <c r="AJ27" i="3"/>
  <c r="AK27" i="3"/>
  <c r="AL27" i="3"/>
  <c r="AM27" i="3"/>
  <c r="AN27" i="3"/>
  <c r="AP27" i="3"/>
  <c r="AQ27" i="3"/>
  <c r="AR27" i="3"/>
  <c r="AS27" i="3"/>
  <c r="AT27" i="3"/>
  <c r="AV27" i="3"/>
  <c r="AW27" i="3"/>
  <c r="AX27" i="3"/>
  <c r="AY27" i="3"/>
  <c r="AZ27" i="3"/>
  <c r="BB27" i="3"/>
  <c r="BC27" i="3"/>
  <c r="BD27" i="3"/>
  <c r="BE27" i="3"/>
  <c r="BF27" i="3"/>
  <c r="AD26" i="3"/>
  <c r="AE26" i="3"/>
  <c r="AF26" i="3"/>
  <c r="AG26" i="3"/>
  <c r="AH26" i="3"/>
  <c r="AJ26" i="3"/>
  <c r="AK26" i="3"/>
  <c r="AL26" i="3"/>
  <c r="AM26" i="3"/>
  <c r="AN26" i="3"/>
  <c r="AP26" i="3"/>
  <c r="AQ26" i="3"/>
  <c r="AR26" i="3"/>
  <c r="AS26" i="3"/>
  <c r="AT26" i="3"/>
  <c r="AV26" i="3"/>
  <c r="AW26" i="3"/>
  <c r="AX26" i="3"/>
  <c r="AY26" i="3"/>
  <c r="AZ26" i="3"/>
  <c r="BB26" i="3"/>
  <c r="BC26" i="3"/>
  <c r="BD26" i="3"/>
  <c r="BE26" i="3"/>
  <c r="BF26" i="3"/>
  <c r="AD25" i="3"/>
  <c r="AE25" i="3"/>
  <c r="AF25" i="3"/>
  <c r="AG25" i="3"/>
  <c r="AH25" i="3"/>
  <c r="AJ25" i="3"/>
  <c r="AK25" i="3"/>
  <c r="AL25" i="3"/>
  <c r="AM25" i="3"/>
  <c r="AN25" i="3"/>
  <c r="AP25" i="3"/>
  <c r="AQ25" i="3"/>
  <c r="AR25" i="3"/>
  <c r="AS25" i="3"/>
  <c r="AT25" i="3"/>
  <c r="AV25" i="3"/>
  <c r="AW25" i="3"/>
  <c r="AX25" i="3"/>
  <c r="AY25" i="3"/>
  <c r="AZ25" i="3"/>
  <c r="BB25" i="3"/>
  <c r="BC25" i="3"/>
  <c r="BD25" i="3"/>
  <c r="BE25" i="3"/>
  <c r="BF25" i="3"/>
  <c r="AD24" i="3"/>
  <c r="AE24" i="3"/>
  <c r="AF24" i="3"/>
  <c r="AG24" i="3"/>
  <c r="AH24" i="3"/>
  <c r="AJ24" i="3"/>
  <c r="AK24" i="3"/>
  <c r="AL24" i="3"/>
  <c r="AM24" i="3"/>
  <c r="AN24" i="3"/>
  <c r="AP24" i="3"/>
  <c r="AQ24" i="3"/>
  <c r="AR24" i="3"/>
  <c r="AS24" i="3"/>
  <c r="AT24" i="3"/>
  <c r="AV24" i="3"/>
  <c r="AW24" i="3"/>
  <c r="AX24" i="3"/>
  <c r="AY24" i="3"/>
  <c r="AZ24" i="3"/>
  <c r="BB24" i="3"/>
  <c r="BC24" i="3"/>
  <c r="BD24" i="3"/>
  <c r="BE24" i="3"/>
  <c r="BF24" i="3"/>
  <c r="AD23" i="3"/>
  <c r="AE23" i="3"/>
  <c r="AF23" i="3"/>
  <c r="AG23" i="3"/>
  <c r="AH23" i="3"/>
  <c r="AJ23" i="3"/>
  <c r="AK23" i="3"/>
  <c r="AL23" i="3"/>
  <c r="AM23" i="3"/>
  <c r="AN23" i="3"/>
  <c r="AP23" i="3"/>
  <c r="AQ23" i="3"/>
  <c r="AR23" i="3"/>
  <c r="AS23" i="3"/>
  <c r="AT23" i="3"/>
  <c r="AV23" i="3"/>
  <c r="AW23" i="3"/>
  <c r="AX23" i="3"/>
  <c r="AY23" i="3"/>
  <c r="AZ23" i="3"/>
  <c r="BB23" i="3"/>
  <c r="BC23" i="3"/>
  <c r="BD23" i="3"/>
  <c r="BE23" i="3"/>
  <c r="BF23" i="3"/>
  <c r="AD22" i="3"/>
  <c r="AE22" i="3"/>
  <c r="AF22" i="3"/>
  <c r="AG22" i="3"/>
  <c r="AH22" i="3"/>
  <c r="AJ22" i="3"/>
  <c r="AK22" i="3"/>
  <c r="AL22" i="3"/>
  <c r="AM22" i="3"/>
  <c r="AN22" i="3"/>
  <c r="AP22" i="3"/>
  <c r="AQ22" i="3"/>
  <c r="AR22" i="3"/>
  <c r="AS22" i="3"/>
  <c r="AT22" i="3"/>
  <c r="AV22" i="3"/>
  <c r="AW22" i="3"/>
  <c r="AX22" i="3"/>
  <c r="AY22" i="3"/>
  <c r="AZ22" i="3"/>
  <c r="BB22" i="3"/>
  <c r="BC22" i="3"/>
  <c r="BD22" i="3"/>
  <c r="BE22" i="3"/>
  <c r="BF22" i="3"/>
  <c r="AD21" i="3"/>
  <c r="AE21" i="3"/>
  <c r="AF21" i="3"/>
  <c r="AG21" i="3"/>
  <c r="AH21" i="3"/>
  <c r="AJ21" i="3"/>
  <c r="AK21" i="3"/>
  <c r="AL21" i="3"/>
  <c r="AM21" i="3"/>
  <c r="AN21" i="3"/>
  <c r="AP21" i="3"/>
  <c r="AQ21" i="3"/>
  <c r="AR21" i="3"/>
  <c r="AS21" i="3"/>
  <c r="AT21" i="3"/>
  <c r="AV21" i="3"/>
  <c r="AW21" i="3"/>
  <c r="AX21" i="3"/>
  <c r="AY21" i="3"/>
  <c r="AZ21" i="3"/>
  <c r="BB21" i="3"/>
  <c r="BC21" i="3"/>
  <c r="BD21" i="3"/>
  <c r="BE21" i="3"/>
  <c r="BF21" i="3"/>
  <c r="AD20" i="3"/>
  <c r="AE20" i="3"/>
  <c r="AF20" i="3"/>
  <c r="AG20" i="3"/>
  <c r="AH20" i="3"/>
  <c r="AJ20" i="3"/>
  <c r="AK20" i="3"/>
  <c r="AL20" i="3"/>
  <c r="AM20" i="3"/>
  <c r="AN20" i="3"/>
  <c r="AP20" i="3"/>
  <c r="AQ20" i="3"/>
  <c r="AR20" i="3"/>
  <c r="AS20" i="3"/>
  <c r="AT20" i="3"/>
  <c r="AV20" i="3"/>
  <c r="AW20" i="3"/>
  <c r="AX20" i="3"/>
  <c r="AY20" i="3"/>
  <c r="AZ20" i="3"/>
  <c r="BB20" i="3"/>
  <c r="BC20" i="3"/>
  <c r="BD20" i="3"/>
  <c r="BE20" i="3"/>
  <c r="BF20" i="3"/>
  <c r="AD19" i="3"/>
  <c r="AE19" i="3"/>
  <c r="AF19" i="3"/>
  <c r="AG19" i="3"/>
  <c r="AH19" i="3"/>
  <c r="AJ19" i="3"/>
  <c r="AK19" i="3"/>
  <c r="AL19" i="3"/>
  <c r="AM19" i="3"/>
  <c r="AN19" i="3"/>
  <c r="AP19" i="3"/>
  <c r="AQ19" i="3"/>
  <c r="AR19" i="3"/>
  <c r="AS19" i="3"/>
  <c r="AT19" i="3"/>
  <c r="AV19" i="3"/>
  <c r="AW19" i="3"/>
  <c r="AX19" i="3"/>
  <c r="AY19" i="3"/>
  <c r="AZ19" i="3"/>
  <c r="BB19" i="3"/>
  <c r="BC19" i="3"/>
  <c r="BD19" i="3"/>
  <c r="BE19" i="3"/>
  <c r="BF19" i="3"/>
  <c r="AD18" i="3"/>
  <c r="AE18" i="3"/>
  <c r="AF18" i="3"/>
  <c r="AG18" i="3"/>
  <c r="AH18" i="3"/>
  <c r="AJ18" i="3"/>
  <c r="AK18" i="3"/>
  <c r="AL18" i="3"/>
  <c r="AM18" i="3"/>
  <c r="AN18" i="3"/>
  <c r="AP18" i="3"/>
  <c r="AQ18" i="3"/>
  <c r="AR18" i="3"/>
  <c r="AS18" i="3"/>
  <c r="AT18" i="3"/>
  <c r="AV18" i="3"/>
  <c r="AW18" i="3"/>
  <c r="AX18" i="3"/>
  <c r="AY18" i="3"/>
  <c r="AZ18" i="3"/>
  <c r="BB18" i="3"/>
  <c r="BC18" i="3"/>
  <c r="BD18" i="3"/>
  <c r="BE18" i="3"/>
  <c r="BF18" i="3"/>
  <c r="AD17" i="3"/>
  <c r="AE17" i="3"/>
  <c r="AF17" i="3"/>
  <c r="AG17" i="3"/>
  <c r="AH17" i="3"/>
  <c r="AJ17" i="3"/>
  <c r="AK17" i="3"/>
  <c r="AL17" i="3"/>
  <c r="AM17" i="3"/>
  <c r="AN17" i="3"/>
  <c r="AP17" i="3"/>
  <c r="AQ17" i="3"/>
  <c r="AR17" i="3"/>
  <c r="AS17" i="3"/>
  <c r="AT17" i="3"/>
  <c r="AV17" i="3"/>
  <c r="AW17" i="3"/>
  <c r="AX17" i="3"/>
  <c r="AY17" i="3"/>
  <c r="AZ17" i="3"/>
  <c r="BB17" i="3"/>
  <c r="BC17" i="3"/>
  <c r="BD17" i="3"/>
  <c r="BE17" i="3"/>
  <c r="BF17" i="3"/>
  <c r="AD16" i="3"/>
  <c r="AE16" i="3"/>
  <c r="AF16" i="3"/>
  <c r="AG16" i="3"/>
  <c r="AH16" i="3"/>
  <c r="AJ16" i="3"/>
  <c r="AK16" i="3"/>
  <c r="AL16" i="3"/>
  <c r="AM16" i="3"/>
  <c r="AN16" i="3"/>
  <c r="AP16" i="3"/>
  <c r="AQ16" i="3"/>
  <c r="AR16" i="3"/>
  <c r="AS16" i="3"/>
  <c r="AT16" i="3"/>
  <c r="AV16" i="3"/>
  <c r="AW16" i="3"/>
  <c r="AX16" i="3"/>
  <c r="AY16" i="3"/>
  <c r="AZ16" i="3"/>
  <c r="BB16" i="3"/>
  <c r="BC16" i="3"/>
  <c r="BD16" i="3"/>
  <c r="BE16" i="3"/>
  <c r="BF16" i="3"/>
  <c r="AD15" i="3"/>
  <c r="AE15" i="3"/>
  <c r="AF15" i="3"/>
  <c r="AG15" i="3"/>
  <c r="AH15" i="3"/>
  <c r="AJ15" i="3"/>
  <c r="AK15" i="3"/>
  <c r="AL15" i="3"/>
  <c r="AM15" i="3"/>
  <c r="AN15" i="3"/>
  <c r="AP15" i="3"/>
  <c r="AQ15" i="3"/>
  <c r="AR15" i="3"/>
  <c r="AS15" i="3"/>
  <c r="AT15" i="3"/>
  <c r="AV15" i="3"/>
  <c r="AW15" i="3"/>
  <c r="AX15" i="3"/>
  <c r="AY15" i="3"/>
  <c r="AZ15" i="3"/>
  <c r="BB15" i="3"/>
  <c r="BC15" i="3"/>
  <c r="BD15" i="3"/>
  <c r="BE15" i="3"/>
  <c r="BF15" i="3"/>
  <c r="AD14" i="3"/>
  <c r="AE14" i="3"/>
  <c r="AF14" i="3"/>
  <c r="AG14" i="3"/>
  <c r="AH14" i="3"/>
  <c r="AJ14" i="3"/>
  <c r="AK14" i="3"/>
  <c r="AL14" i="3"/>
  <c r="AM14" i="3"/>
  <c r="AN14" i="3"/>
  <c r="AP14" i="3"/>
  <c r="AQ14" i="3"/>
  <c r="AR14" i="3"/>
  <c r="AS14" i="3"/>
  <c r="AT14" i="3"/>
  <c r="AV14" i="3"/>
  <c r="AW14" i="3"/>
  <c r="AX14" i="3"/>
  <c r="AY14" i="3"/>
  <c r="AZ14" i="3"/>
  <c r="BB14" i="3"/>
  <c r="BC14" i="3"/>
  <c r="BD14" i="3"/>
  <c r="BE14" i="3"/>
  <c r="BF14" i="3"/>
  <c r="AD13" i="3"/>
  <c r="AE13" i="3"/>
  <c r="AF13" i="3"/>
  <c r="AG13" i="3"/>
  <c r="AH13" i="3"/>
  <c r="AJ13" i="3"/>
  <c r="AK13" i="3"/>
  <c r="AL13" i="3"/>
  <c r="AM13" i="3"/>
  <c r="AN13" i="3"/>
  <c r="AP13" i="3"/>
  <c r="AQ13" i="3"/>
  <c r="AR13" i="3"/>
  <c r="AS13" i="3"/>
  <c r="AT13" i="3"/>
  <c r="AV13" i="3"/>
  <c r="AW13" i="3"/>
  <c r="AX13" i="3"/>
  <c r="AY13" i="3"/>
  <c r="AZ13" i="3"/>
  <c r="BB13" i="3"/>
  <c r="BC13" i="3"/>
  <c r="BD13" i="3"/>
  <c r="BE13" i="3"/>
  <c r="BF13" i="3"/>
  <c r="AD12" i="3"/>
  <c r="AE12" i="3"/>
  <c r="AF12" i="3"/>
  <c r="AG12" i="3"/>
  <c r="AH12" i="3"/>
  <c r="AJ12" i="3"/>
  <c r="AK12" i="3"/>
  <c r="AL12" i="3"/>
  <c r="AM12" i="3"/>
  <c r="AN12" i="3"/>
  <c r="AP12" i="3"/>
  <c r="AQ12" i="3"/>
  <c r="AR12" i="3"/>
  <c r="AS12" i="3"/>
  <c r="AT12" i="3"/>
  <c r="AV12" i="3"/>
  <c r="AW12" i="3"/>
  <c r="AX12" i="3"/>
  <c r="AY12" i="3"/>
  <c r="AZ12" i="3"/>
  <c r="BB12" i="3"/>
  <c r="BC12" i="3"/>
  <c r="BD12" i="3"/>
  <c r="BE12" i="3"/>
  <c r="BF12" i="3"/>
  <c r="AD11" i="3"/>
  <c r="AE11" i="3"/>
  <c r="AF11" i="3"/>
  <c r="AG11" i="3"/>
  <c r="AH11" i="3"/>
  <c r="AJ11" i="3"/>
  <c r="AK11" i="3"/>
  <c r="AL11" i="3"/>
  <c r="AM11" i="3"/>
  <c r="AN11" i="3"/>
  <c r="AP11" i="3"/>
  <c r="AQ11" i="3"/>
  <c r="AR11" i="3"/>
  <c r="AS11" i="3"/>
  <c r="AT11" i="3"/>
  <c r="AV11" i="3"/>
  <c r="AW11" i="3"/>
  <c r="AX11" i="3"/>
  <c r="AY11" i="3"/>
  <c r="AZ11" i="3"/>
  <c r="BB11" i="3"/>
  <c r="BC11" i="3"/>
  <c r="BD11" i="3"/>
  <c r="BE11" i="3"/>
  <c r="BF11" i="3"/>
  <c r="AD10" i="3"/>
  <c r="AE10" i="3"/>
  <c r="AF10" i="3"/>
  <c r="AG10" i="3"/>
  <c r="AH10" i="3"/>
  <c r="AJ10" i="3"/>
  <c r="AK10" i="3"/>
  <c r="AL10" i="3"/>
  <c r="AM10" i="3"/>
  <c r="AN10" i="3"/>
  <c r="AP10" i="3"/>
  <c r="AQ10" i="3"/>
  <c r="AR10" i="3"/>
  <c r="AS10" i="3"/>
  <c r="AT10" i="3"/>
  <c r="AV10" i="3"/>
  <c r="AW10" i="3"/>
  <c r="AX10" i="3"/>
  <c r="AY10" i="3"/>
  <c r="AZ10" i="3"/>
  <c r="BB10" i="3"/>
  <c r="BC10" i="3"/>
  <c r="BD10" i="3"/>
  <c r="BE10" i="3"/>
  <c r="BF10" i="3"/>
  <c r="AD9" i="3"/>
  <c r="AE9" i="3"/>
  <c r="AF9" i="3"/>
  <c r="AG9" i="3"/>
  <c r="AH9" i="3"/>
  <c r="AJ9" i="3"/>
  <c r="AK9" i="3"/>
  <c r="AL9" i="3"/>
  <c r="AM9" i="3"/>
  <c r="AN9" i="3"/>
  <c r="AP9" i="3"/>
  <c r="AQ9" i="3"/>
  <c r="AR9" i="3"/>
  <c r="AS9" i="3"/>
  <c r="AT9" i="3"/>
  <c r="AV9" i="3"/>
  <c r="AW9" i="3"/>
  <c r="AX9" i="3"/>
  <c r="AY9" i="3"/>
  <c r="AZ9" i="3"/>
  <c r="BB9" i="3"/>
  <c r="BC9" i="3"/>
  <c r="BD9" i="3"/>
  <c r="BE9" i="3"/>
  <c r="BF9" i="3"/>
  <c r="AD8" i="3"/>
  <c r="AE8" i="3"/>
  <c r="AF8" i="3"/>
  <c r="AG8" i="3"/>
  <c r="AH8" i="3"/>
  <c r="AJ8" i="3"/>
  <c r="AK8" i="3"/>
  <c r="AL8" i="3"/>
  <c r="AM8" i="3"/>
  <c r="AN8" i="3"/>
  <c r="AP8" i="3"/>
  <c r="AQ8" i="3"/>
  <c r="AR8" i="3"/>
  <c r="AS8" i="3"/>
  <c r="AT8" i="3"/>
  <c r="AV8" i="3"/>
  <c r="AW8" i="3"/>
  <c r="AX8" i="3"/>
  <c r="AY8" i="3"/>
  <c r="AZ8" i="3"/>
  <c r="BB8" i="3"/>
  <c r="BC8" i="3"/>
  <c r="BD8" i="3"/>
  <c r="BE8" i="3"/>
  <c r="BF8" i="3"/>
  <c r="AD7" i="3"/>
  <c r="AE7" i="3"/>
  <c r="AF7" i="3"/>
  <c r="AG7" i="3"/>
  <c r="AH7" i="3"/>
  <c r="AJ7" i="3"/>
  <c r="AK7" i="3"/>
  <c r="AL7" i="3"/>
  <c r="AM7" i="3"/>
  <c r="AN7" i="3"/>
  <c r="AP7" i="3"/>
  <c r="AQ7" i="3"/>
  <c r="AR7" i="3"/>
  <c r="AS7" i="3"/>
  <c r="AT7" i="3"/>
  <c r="AV7" i="3"/>
  <c r="AW7" i="3"/>
  <c r="AX7" i="3"/>
  <c r="AY7" i="3"/>
  <c r="AZ7" i="3"/>
  <c r="BB7" i="3"/>
  <c r="BC7" i="3"/>
  <c r="BD7" i="3"/>
  <c r="BE7" i="3"/>
  <c r="BF7" i="3"/>
  <c r="AD6" i="3"/>
  <c r="AE6" i="3"/>
  <c r="AF6" i="3"/>
  <c r="AG6" i="3"/>
  <c r="AH6" i="3"/>
  <c r="AJ6" i="3"/>
  <c r="AK6" i="3"/>
  <c r="AL6" i="3"/>
  <c r="AM6" i="3"/>
  <c r="AN6" i="3"/>
  <c r="AP6" i="3"/>
  <c r="AQ6" i="3"/>
  <c r="AR6" i="3"/>
  <c r="AS6" i="3"/>
  <c r="AT6" i="3"/>
  <c r="AV6" i="3"/>
  <c r="AW6" i="3"/>
  <c r="AX6" i="3"/>
  <c r="AY6" i="3"/>
  <c r="AZ6" i="3"/>
  <c r="BB6" i="3"/>
  <c r="BC6" i="3"/>
  <c r="BD6" i="3"/>
  <c r="BE6" i="3"/>
  <c r="BF6" i="3"/>
  <c r="AD5" i="3"/>
  <c r="AE5" i="3"/>
  <c r="AF5" i="3"/>
  <c r="AG5" i="3"/>
  <c r="AH5" i="3"/>
  <c r="AJ5" i="3"/>
  <c r="AK5" i="3"/>
  <c r="AL5" i="3"/>
  <c r="AM5" i="3"/>
  <c r="AN5" i="3"/>
  <c r="AP5" i="3"/>
  <c r="AQ5" i="3"/>
  <c r="AR5" i="3"/>
  <c r="AS5" i="3"/>
  <c r="AT5" i="3"/>
  <c r="AV5" i="3"/>
  <c r="AW5" i="3"/>
  <c r="AX5" i="3"/>
  <c r="AY5" i="3"/>
  <c r="AZ5" i="3"/>
  <c r="BB5" i="3"/>
  <c r="BC5" i="3"/>
  <c r="BD5" i="3"/>
  <c r="BE5" i="3"/>
  <c r="BF5" i="3"/>
  <c r="AD4" i="3"/>
  <c r="AE4" i="3"/>
  <c r="AF4" i="3"/>
  <c r="AG4" i="3"/>
  <c r="AH4" i="3"/>
  <c r="AJ4" i="3"/>
  <c r="AK4" i="3"/>
  <c r="AL4" i="3"/>
  <c r="AM4" i="3"/>
  <c r="AN4" i="3"/>
  <c r="AP4" i="3"/>
  <c r="AQ4" i="3"/>
  <c r="AR4" i="3"/>
  <c r="AS4" i="3"/>
  <c r="AT4" i="3"/>
  <c r="AV4" i="3"/>
  <c r="AW4" i="3"/>
  <c r="AX4" i="3"/>
  <c r="AY4" i="3"/>
  <c r="AZ4" i="3"/>
  <c r="BB4" i="3"/>
  <c r="BC4" i="3"/>
  <c r="BD4" i="3"/>
  <c r="BE4" i="3"/>
  <c r="BF4" i="3"/>
  <c r="BF3" i="3"/>
  <c r="BE3" i="3"/>
  <c r="BD3" i="3"/>
  <c r="BC3" i="3"/>
  <c r="BB3" i="3"/>
  <c r="AZ3" i="3"/>
  <c r="AY3" i="3"/>
  <c r="AX3" i="3"/>
  <c r="AW3" i="3"/>
  <c r="AV3" i="3"/>
  <c r="AT3" i="3"/>
  <c r="AS3" i="3"/>
  <c r="AR3" i="3"/>
  <c r="AQ3" i="3"/>
  <c r="AP3" i="3"/>
  <c r="AN3" i="3"/>
  <c r="AM3" i="3"/>
  <c r="AL3" i="3"/>
  <c r="AK3" i="3"/>
  <c r="AJ3" i="3"/>
  <c r="AH3" i="3"/>
  <c r="AG3" i="3"/>
  <c r="AF3" i="3"/>
  <c r="AE3" i="3"/>
  <c r="AD3" i="3"/>
  <c r="BF2" i="3"/>
  <c r="BE2" i="3"/>
  <c r="BD2" i="3"/>
  <c r="BC2" i="3"/>
  <c r="BB2" i="3"/>
  <c r="AZ2" i="3"/>
  <c r="AY2" i="3"/>
  <c r="AX2" i="3"/>
  <c r="AW2" i="3"/>
  <c r="AV2" i="3"/>
  <c r="AT2" i="3"/>
  <c r="AS2" i="3"/>
  <c r="AR2" i="3"/>
  <c r="AQ2" i="3"/>
  <c r="AP2" i="3"/>
  <c r="AN2" i="3"/>
  <c r="AM2" i="3"/>
  <c r="AL2" i="3"/>
  <c r="AK2" i="3"/>
  <c r="AJ2" i="3"/>
  <c r="AH2" i="3"/>
  <c r="AG2" i="3"/>
  <c r="AF2" i="3"/>
  <c r="AE2" i="3"/>
  <c r="AD2" i="3"/>
  <c r="BF3" i="2"/>
  <c r="BB3" i="2"/>
  <c r="BC3" i="2"/>
  <c r="BD3" i="2"/>
  <c r="BE3" i="2"/>
  <c r="BA3" i="2"/>
  <c r="AZ3" i="2"/>
  <c r="AV3" i="2"/>
  <c r="AW3" i="2"/>
  <c r="AX3" i="2"/>
  <c r="AY3" i="2"/>
  <c r="AU3" i="2"/>
  <c r="AT3" i="2"/>
  <c r="AP3" i="2"/>
  <c r="AQ3" i="2"/>
  <c r="AR3" i="2"/>
  <c r="AS3" i="2"/>
  <c r="AO3" i="2"/>
  <c r="AN3" i="2"/>
  <c r="AJ3" i="2"/>
  <c r="AK3" i="2"/>
  <c r="AL3" i="2"/>
  <c r="AM3" i="2"/>
  <c r="AI3" i="2"/>
  <c r="AH3" i="2"/>
  <c r="AD3" i="2"/>
  <c r="AE3" i="2"/>
  <c r="AF3" i="2"/>
  <c r="AG3" i="2"/>
  <c r="AC3" i="2"/>
  <c r="BF2" i="2"/>
  <c r="BB2" i="2"/>
  <c r="BC2" i="2"/>
  <c r="BD2" i="2"/>
  <c r="BE2" i="2"/>
  <c r="BA2" i="2"/>
  <c r="AV2" i="2"/>
  <c r="AW2" i="2"/>
  <c r="AX2" i="2"/>
  <c r="AY2" i="2"/>
  <c r="AU2" i="2"/>
  <c r="AP2" i="2"/>
  <c r="AQ2" i="2"/>
  <c r="AR2" i="2"/>
  <c r="AS2" i="2"/>
  <c r="AO2" i="2"/>
  <c r="AJ2" i="2"/>
  <c r="AK2" i="2"/>
  <c r="AL2" i="2"/>
  <c r="AM2" i="2"/>
  <c r="AI2" i="2"/>
  <c r="AD2" i="2"/>
  <c r="AE2" i="2"/>
  <c r="AF2" i="2"/>
  <c r="AG2" i="2"/>
  <c r="AC2" i="2"/>
  <c r="F9" i="13" l="1"/>
  <c r="O8" i="13"/>
  <c r="C62" i="8"/>
  <c r="C63" i="8"/>
  <c r="C64" i="8"/>
  <c r="J1" i="8"/>
  <c r="J5" i="8"/>
  <c r="J2" i="8"/>
  <c r="J6" i="8"/>
  <c r="BG26" i="3"/>
  <c r="F26" i="4" s="1"/>
  <c r="BG27" i="3"/>
  <c r="F27" i="4" s="1"/>
  <c r="BG12" i="3"/>
  <c r="F12" i="4" s="1"/>
  <c r="BG28" i="3"/>
  <c r="F28" i="4" s="1"/>
  <c r="BG14" i="3"/>
  <c r="F14" i="4" s="1"/>
  <c r="BG16" i="3"/>
  <c r="F16" i="4" s="1"/>
  <c r="BG30" i="3"/>
  <c r="F30" i="4" s="1"/>
  <c r="AU3" i="3"/>
  <c r="BG25" i="3"/>
  <c r="F25" i="4" s="1"/>
  <c r="BG31" i="3"/>
  <c r="F31" i="4" s="1"/>
  <c r="BG32" i="3"/>
  <c r="F32" i="4" s="1"/>
  <c r="BA32" i="3"/>
  <c r="AU32" i="3"/>
  <c r="AO32" i="3"/>
  <c r="AI32" i="3"/>
  <c r="BA31" i="3"/>
  <c r="AU31" i="3"/>
  <c r="AO31" i="3"/>
  <c r="AI31" i="3"/>
  <c r="BA30" i="3"/>
  <c r="AU30" i="3"/>
  <c r="AO30" i="3"/>
  <c r="AI30" i="3"/>
  <c r="BG29" i="3"/>
  <c r="F29" i="4" s="1"/>
  <c r="BA29" i="3"/>
  <c r="AU29" i="3"/>
  <c r="AO29" i="3"/>
  <c r="AI29" i="3"/>
  <c r="BA28" i="3"/>
  <c r="AU28" i="3"/>
  <c r="AO28" i="3"/>
  <c r="AI28" i="3"/>
  <c r="BA27" i="3"/>
  <c r="AU27" i="3"/>
  <c r="AO27" i="3"/>
  <c r="AI27" i="3"/>
  <c r="BA26" i="3"/>
  <c r="AU26" i="3"/>
  <c r="AO26" i="3"/>
  <c r="AI26" i="3"/>
  <c r="BA25" i="3"/>
  <c r="AU25" i="3"/>
  <c r="AO25" i="3"/>
  <c r="AI25" i="3"/>
  <c r="D25" i="4" s="1"/>
  <c r="G25" i="4" s="1"/>
  <c r="BG24" i="3"/>
  <c r="F24" i="4" s="1"/>
  <c r="BA24" i="3"/>
  <c r="AU24" i="3"/>
  <c r="AO24" i="3"/>
  <c r="AI24" i="3"/>
  <c r="BG23" i="3"/>
  <c r="F23" i="4" s="1"/>
  <c r="BA23" i="3"/>
  <c r="AU23" i="3"/>
  <c r="AO23" i="3"/>
  <c r="AI23" i="3"/>
  <c r="BG22" i="3"/>
  <c r="F22" i="4" s="1"/>
  <c r="BA22" i="3"/>
  <c r="AU22" i="3"/>
  <c r="AO22" i="3"/>
  <c r="AI22" i="3"/>
  <c r="BG21" i="3"/>
  <c r="F21" i="4" s="1"/>
  <c r="BA21" i="3"/>
  <c r="AU21" i="3"/>
  <c r="AO21" i="3"/>
  <c r="AI21" i="3"/>
  <c r="BG20" i="3"/>
  <c r="F20" i="4" s="1"/>
  <c r="BA20" i="3"/>
  <c r="AU20" i="3"/>
  <c r="AO20" i="3"/>
  <c r="AI20" i="3"/>
  <c r="BG19" i="3"/>
  <c r="F19" i="4" s="1"/>
  <c r="BA19" i="3"/>
  <c r="AU19" i="3"/>
  <c r="AO19" i="3"/>
  <c r="AI19" i="3"/>
  <c r="BG18" i="3"/>
  <c r="F18" i="4" s="1"/>
  <c r="BA18" i="3"/>
  <c r="AU18" i="3"/>
  <c r="AO18" i="3"/>
  <c r="AI18" i="3"/>
  <c r="BG17" i="3"/>
  <c r="F17" i="4" s="1"/>
  <c r="BA17" i="3"/>
  <c r="AU17" i="3"/>
  <c r="AO17" i="3"/>
  <c r="AI17" i="3"/>
  <c r="BA16" i="3"/>
  <c r="AU16" i="3"/>
  <c r="AO16" i="3"/>
  <c r="AI16" i="3"/>
  <c r="BG15" i="3"/>
  <c r="F15" i="4" s="1"/>
  <c r="BA15" i="3"/>
  <c r="AU15" i="3"/>
  <c r="AO15" i="3"/>
  <c r="AI15" i="3"/>
  <c r="BA14" i="3"/>
  <c r="AU14" i="3"/>
  <c r="AO14" i="3"/>
  <c r="AI14" i="3"/>
  <c r="BG13" i="3"/>
  <c r="F13" i="4" s="1"/>
  <c r="BA13" i="3"/>
  <c r="AU13" i="3"/>
  <c r="AO13" i="3"/>
  <c r="AI13" i="3"/>
  <c r="BA12" i="3"/>
  <c r="AU12" i="3"/>
  <c r="AO12" i="3"/>
  <c r="AI12" i="3"/>
  <c r="BG11" i="3"/>
  <c r="F11" i="4" s="1"/>
  <c r="BA11" i="3"/>
  <c r="AU11" i="3"/>
  <c r="AO11" i="3"/>
  <c r="AI11" i="3"/>
  <c r="BG10" i="3"/>
  <c r="F10" i="4" s="1"/>
  <c r="BA10" i="3"/>
  <c r="AU10" i="3"/>
  <c r="AO10" i="3"/>
  <c r="AI10" i="3"/>
  <c r="BG9" i="3"/>
  <c r="F9" i="4" s="1"/>
  <c r="BA9" i="3"/>
  <c r="AU9" i="3"/>
  <c r="AO9" i="3"/>
  <c r="AI9" i="3"/>
  <c r="AO2" i="3"/>
  <c r="BG3" i="3"/>
  <c r="F3" i="4" s="1"/>
  <c r="BG2" i="3"/>
  <c r="F2" i="4" s="1"/>
  <c r="AO3" i="3"/>
  <c r="BA2" i="3"/>
  <c r="AI2" i="3"/>
  <c r="BA3" i="3"/>
  <c r="AI3" i="3"/>
  <c r="AU2" i="3"/>
  <c r="BG8" i="3"/>
  <c r="F8" i="4" s="1"/>
  <c r="BA8" i="3"/>
  <c r="AU8" i="3"/>
  <c r="AO8" i="3"/>
  <c r="AI8" i="3"/>
  <c r="BG7" i="3"/>
  <c r="F7" i="4" s="1"/>
  <c r="BA7" i="3"/>
  <c r="AU7" i="3"/>
  <c r="AO7" i="3"/>
  <c r="AI7" i="3"/>
  <c r="BG6" i="3"/>
  <c r="F6" i="4" s="1"/>
  <c r="BA6" i="3"/>
  <c r="AU6" i="3"/>
  <c r="AO6" i="3"/>
  <c r="AI6" i="3"/>
  <c r="BG5" i="3"/>
  <c r="F5" i="4" s="1"/>
  <c r="BA5" i="3"/>
  <c r="AU5" i="3"/>
  <c r="AO5" i="3"/>
  <c r="AI5" i="3"/>
  <c r="BG4" i="3"/>
  <c r="F4" i="4" s="1"/>
  <c r="BA4" i="3"/>
  <c r="AU4" i="3"/>
  <c r="AO4" i="3"/>
  <c r="AI4" i="3"/>
  <c r="D4" i="4" s="1"/>
  <c r="AH2" i="2"/>
  <c r="AN2" i="2"/>
  <c r="AZ2" i="2"/>
  <c r="AT2" i="2"/>
  <c r="O9" i="13" l="1"/>
  <c r="F10" i="13"/>
  <c r="D23" i="4"/>
  <c r="G23" i="4" s="1"/>
  <c r="D27" i="4"/>
  <c r="G27" i="4" s="1"/>
  <c r="D26" i="4"/>
  <c r="G26" i="4" s="1"/>
  <c r="D28" i="4"/>
  <c r="G28" i="4" s="1"/>
  <c r="D30" i="4"/>
  <c r="G30" i="4" s="1"/>
  <c r="D32" i="4"/>
  <c r="G32" i="4" s="1"/>
  <c r="D29" i="4"/>
  <c r="G29" i="4" s="1"/>
  <c r="D31" i="4"/>
  <c r="G31" i="4" s="1"/>
  <c r="D9" i="4"/>
  <c r="G9" i="4" s="1"/>
  <c r="D24" i="4"/>
  <c r="G24" i="4" s="1"/>
  <c r="D22" i="4"/>
  <c r="G22" i="4" s="1"/>
  <c r="D21" i="4"/>
  <c r="G21" i="4" s="1"/>
  <c r="D20" i="4"/>
  <c r="G20" i="4" s="1"/>
  <c r="D19" i="4"/>
  <c r="G19" i="4" s="1"/>
  <c r="D18" i="4"/>
  <c r="G18" i="4" s="1"/>
  <c r="D17" i="4"/>
  <c r="G17" i="4" s="1"/>
  <c r="D16" i="4"/>
  <c r="G16" i="4" s="1"/>
  <c r="D15" i="4"/>
  <c r="G15" i="4" s="1"/>
  <c r="D14" i="4"/>
  <c r="G14" i="4" s="1"/>
  <c r="D13" i="4"/>
  <c r="G13" i="4" s="1"/>
  <c r="D12" i="4"/>
  <c r="G12" i="4" s="1"/>
  <c r="D11" i="4"/>
  <c r="G11" i="4" s="1"/>
  <c r="D10" i="4"/>
  <c r="G10" i="4" s="1"/>
  <c r="G4" i="4"/>
  <c r="D3" i="4"/>
  <c r="G3" i="4" s="1"/>
  <c r="D8" i="4"/>
  <c r="G8" i="4" s="1"/>
  <c r="D2" i="4"/>
  <c r="G2" i="4" s="1"/>
  <c r="H3" i="4" s="1"/>
  <c r="I3" i="4" s="1"/>
  <c r="J3" i="4" s="1"/>
  <c r="D5" i="4"/>
  <c r="G5" i="4" s="1"/>
  <c r="D6" i="4"/>
  <c r="G6" i="4" s="1"/>
  <c r="D7" i="4"/>
  <c r="G7" i="4" s="1"/>
  <c r="F11" i="13" l="1"/>
  <c r="O10" i="13"/>
  <c r="H4" i="4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F12" i="13" l="1"/>
  <c r="O11" i="13"/>
  <c r="I4" i="4"/>
  <c r="J4" i="4" s="1"/>
  <c r="O12" i="13" l="1"/>
  <c r="F13" i="13"/>
  <c r="I5" i="4"/>
  <c r="I6" i="4" s="1"/>
  <c r="O13" i="13" l="1"/>
  <c r="F14" i="13"/>
  <c r="J5" i="4"/>
  <c r="J6" i="4"/>
  <c r="I7" i="4"/>
  <c r="F15" i="13" l="1"/>
  <c r="O14" i="13"/>
  <c r="J7" i="4"/>
  <c r="I8" i="4"/>
  <c r="F16" i="13" l="1"/>
  <c r="O15" i="13"/>
  <c r="J8" i="4"/>
  <c r="I9" i="4"/>
  <c r="F17" i="13" l="1"/>
  <c r="O16" i="13"/>
  <c r="J9" i="4"/>
  <c r="I10" i="4"/>
  <c r="O17" i="13" l="1"/>
  <c r="F18" i="13"/>
  <c r="J10" i="4"/>
  <c r="I11" i="4"/>
  <c r="F19" i="13" l="1"/>
  <c r="O18" i="13"/>
  <c r="J11" i="4"/>
  <c r="I12" i="4"/>
  <c r="F20" i="13" l="1"/>
  <c r="O19" i="13"/>
  <c r="J12" i="4"/>
  <c r="I13" i="4"/>
  <c r="F21" i="13" l="1"/>
  <c r="O20" i="13"/>
  <c r="I14" i="4"/>
  <c r="J13" i="4"/>
  <c r="O21" i="13" l="1"/>
  <c r="F22" i="13"/>
  <c r="I15" i="4"/>
  <c r="J14" i="4"/>
  <c r="F23" i="13" l="1"/>
  <c r="O22" i="13"/>
  <c r="J15" i="4"/>
  <c r="I16" i="4"/>
  <c r="F24" i="13" l="1"/>
  <c r="O23" i="13"/>
  <c r="J16" i="4"/>
  <c r="I17" i="4"/>
  <c r="F25" i="13" l="1"/>
  <c r="O24" i="13"/>
  <c r="I18" i="4"/>
  <c r="J17" i="4"/>
  <c r="O25" i="13" l="1"/>
  <c r="F26" i="13"/>
  <c r="J18" i="4"/>
  <c r="I19" i="4"/>
  <c r="F27" i="13" l="1"/>
  <c r="O26" i="13"/>
  <c r="J19" i="4"/>
  <c r="I20" i="4"/>
  <c r="F28" i="13" l="1"/>
  <c r="O27" i="13"/>
  <c r="I21" i="4"/>
  <c r="J20" i="4"/>
  <c r="F29" i="13" l="1"/>
  <c r="O28" i="13"/>
  <c r="I22" i="4"/>
  <c r="J21" i="4"/>
  <c r="O29" i="13" l="1"/>
  <c r="F30" i="13"/>
  <c r="J22" i="4"/>
  <c r="I23" i="4"/>
  <c r="F31" i="13" l="1"/>
  <c r="O30" i="13"/>
  <c r="J23" i="4"/>
  <c r="I24" i="4"/>
  <c r="F32" i="13" l="1"/>
  <c r="O31" i="13"/>
  <c r="I25" i="4"/>
  <c r="J24" i="4"/>
  <c r="F33" i="13" l="1"/>
  <c r="O32" i="13"/>
  <c r="J25" i="4"/>
  <c r="I26" i="4"/>
  <c r="O33" i="13" l="1"/>
  <c r="F34" i="13"/>
  <c r="J26" i="4"/>
  <c r="I27" i="4"/>
  <c r="F35" i="13" l="1"/>
  <c r="O34" i="13"/>
  <c r="I13" i="13" s="1"/>
  <c r="J27" i="4"/>
  <c r="I28" i="4"/>
  <c r="J28" i="4" l="1"/>
  <c r="I29" i="4"/>
  <c r="J29" i="4" l="1"/>
  <c r="I30" i="4"/>
  <c r="I31" i="4" l="1"/>
  <c r="J30" i="4"/>
  <c r="I32" i="4" l="1"/>
  <c r="J32" i="4" s="1"/>
  <c r="J31" i="4"/>
</calcChain>
</file>

<file path=xl/sharedStrings.xml><?xml version="1.0" encoding="utf-8"?>
<sst xmlns="http://schemas.openxmlformats.org/spreadsheetml/2006/main" count="1254" uniqueCount="335">
  <si>
    <t>id food</t>
  </si>
  <si>
    <t>1a</t>
  </si>
  <si>
    <t>food choice</t>
  </si>
  <si>
    <t>boiled egg</t>
  </si>
  <si>
    <t>calories</t>
  </si>
  <si>
    <t>1b</t>
  </si>
  <si>
    <t>boiled egg with bacon</t>
  </si>
  <si>
    <t>1c</t>
  </si>
  <si>
    <t>2 eggs omelete</t>
  </si>
  <si>
    <t>1d</t>
  </si>
  <si>
    <t>1 fried egg</t>
  </si>
  <si>
    <t>2a</t>
  </si>
  <si>
    <t>1 cup of milk</t>
  </si>
  <si>
    <t>2b</t>
  </si>
  <si>
    <t>1 cup of chocolate milk</t>
  </si>
  <si>
    <t>3a</t>
  </si>
  <si>
    <t>yogurt</t>
  </si>
  <si>
    <t>3b</t>
  </si>
  <si>
    <t>yogurt with fruit</t>
  </si>
  <si>
    <t>1 cup of hot chocolate</t>
  </si>
  <si>
    <t>5a</t>
  </si>
  <si>
    <t>1 cup of tea</t>
  </si>
  <si>
    <t>5b</t>
  </si>
  <si>
    <t>1 cup of tea with milk</t>
  </si>
  <si>
    <t>6a</t>
  </si>
  <si>
    <t>1 cup of French coffee</t>
  </si>
  <si>
    <t>6b</t>
  </si>
  <si>
    <t>1 cup of Greek coffee</t>
  </si>
  <si>
    <t>7</t>
  </si>
  <si>
    <t>1 bowl of fruit gel</t>
  </si>
  <si>
    <t>8a</t>
  </si>
  <si>
    <t>1 slice of cake</t>
  </si>
  <si>
    <t>8b</t>
  </si>
  <si>
    <t>1 slice of chocolate cake</t>
  </si>
  <si>
    <t>8c</t>
  </si>
  <si>
    <t>1 slice of cake with fruits</t>
  </si>
  <si>
    <t>9</t>
  </si>
  <si>
    <t>croissant</t>
  </si>
  <si>
    <t>10</t>
  </si>
  <si>
    <t>1 slice of applepie</t>
  </si>
  <si>
    <t>11</t>
  </si>
  <si>
    <t>toast</t>
  </si>
  <si>
    <t>12</t>
  </si>
  <si>
    <t>crepe with jam</t>
  </si>
  <si>
    <t>13</t>
  </si>
  <si>
    <t>1 pear</t>
  </si>
  <si>
    <t>14</t>
  </si>
  <si>
    <t>1 apple</t>
  </si>
  <si>
    <t>15</t>
  </si>
  <si>
    <t>1 orange</t>
  </si>
  <si>
    <t>16</t>
  </si>
  <si>
    <t>1 orange juice</t>
  </si>
  <si>
    <t>17a</t>
  </si>
  <si>
    <t>1 bowl of strawberries</t>
  </si>
  <si>
    <t>17b</t>
  </si>
  <si>
    <t>1 bowl of strawberries with sugar</t>
  </si>
  <si>
    <t>18a</t>
  </si>
  <si>
    <t>1 biscuit</t>
  </si>
  <si>
    <t>18b</t>
  </si>
  <si>
    <t>1 biscuit with chocolate</t>
  </si>
  <si>
    <t>19</t>
  </si>
  <si>
    <t>donuts</t>
  </si>
  <si>
    <t>20</t>
  </si>
  <si>
    <t>1 bar of milk chocolate</t>
  </si>
  <si>
    <t>21a</t>
  </si>
  <si>
    <t>lamp with peas</t>
  </si>
  <si>
    <t>21b</t>
  </si>
  <si>
    <t>lamp with potatoes</t>
  </si>
  <si>
    <t>22a</t>
  </si>
  <si>
    <t>pasta with minced meat</t>
  </si>
  <si>
    <t>22b</t>
  </si>
  <si>
    <t>pasta with mushrooms</t>
  </si>
  <si>
    <t xml:space="preserve">22c </t>
  </si>
  <si>
    <t>carbonara</t>
  </si>
  <si>
    <t>23a</t>
  </si>
  <si>
    <t>chicken with potatoes</t>
  </si>
  <si>
    <t>23b</t>
  </si>
  <si>
    <t>roast chicken</t>
  </si>
  <si>
    <t>24a</t>
  </si>
  <si>
    <t>veal with pasta</t>
  </si>
  <si>
    <t>24b</t>
  </si>
  <si>
    <t>veal steak</t>
  </si>
  <si>
    <t>25a</t>
  </si>
  <si>
    <t>roast burgers</t>
  </si>
  <si>
    <t>25b</t>
  </si>
  <si>
    <t>fried burgers</t>
  </si>
  <si>
    <t>26</t>
  </si>
  <si>
    <t>roast shordfish</t>
  </si>
  <si>
    <t>27</t>
  </si>
  <si>
    <t>roast trout</t>
  </si>
  <si>
    <t>28</t>
  </si>
  <si>
    <t>rice</t>
  </si>
  <si>
    <t>29a</t>
  </si>
  <si>
    <t>1 slice of spinach pie</t>
  </si>
  <si>
    <t>29b</t>
  </si>
  <si>
    <t>rice with spinach</t>
  </si>
  <si>
    <t xml:space="preserve">30 </t>
  </si>
  <si>
    <t>lentils soup</t>
  </si>
  <si>
    <t>31</t>
  </si>
  <si>
    <t>bean soup</t>
  </si>
  <si>
    <t>32a</t>
  </si>
  <si>
    <t>pork steak</t>
  </si>
  <si>
    <t>32b</t>
  </si>
  <si>
    <t>pork with celery</t>
  </si>
  <si>
    <t>1 slice of bread</t>
  </si>
  <si>
    <t>33a</t>
  </si>
  <si>
    <t>33b</t>
  </si>
  <si>
    <t>1 slice of bread with butter</t>
  </si>
  <si>
    <t>34</t>
  </si>
  <si>
    <t>coleslaw</t>
  </si>
  <si>
    <t>35</t>
  </si>
  <si>
    <t>lettuce salad</t>
  </si>
  <si>
    <t>36</t>
  </si>
  <si>
    <t>tomato salad</t>
  </si>
  <si>
    <t>37</t>
  </si>
  <si>
    <t>milk pie</t>
  </si>
  <si>
    <t>38</t>
  </si>
  <si>
    <t>milk-butter pie</t>
  </si>
  <si>
    <t>39</t>
  </si>
  <si>
    <t>2 balls of ice cream</t>
  </si>
  <si>
    <t>40</t>
  </si>
  <si>
    <t>1 slice of cace</t>
  </si>
  <si>
    <t>count</t>
  </si>
  <si>
    <t>id exercise</t>
  </si>
  <si>
    <t>exercise choice</t>
  </si>
  <si>
    <t>1 hour of dancing</t>
  </si>
  <si>
    <t>1 hour of walking</t>
  </si>
  <si>
    <t>1 hour of cycling</t>
  </si>
  <si>
    <t>1 hour of playing tennis</t>
  </si>
  <si>
    <t>1 hour of gym</t>
  </si>
  <si>
    <t>number of days</t>
  </si>
  <si>
    <t>date</t>
  </si>
  <si>
    <t>breakfast 1</t>
  </si>
  <si>
    <t>breakfast 2</t>
  </si>
  <si>
    <t>breakfast 3</t>
  </si>
  <si>
    <t>breakfast 4</t>
  </si>
  <si>
    <t>breakfast 5</t>
  </si>
  <si>
    <t>bf cal 1</t>
  </si>
  <si>
    <t>bf cal 2</t>
  </si>
  <si>
    <t>bf cal 3</t>
  </si>
  <si>
    <t>lunch 1</t>
  </si>
  <si>
    <t>lunch 2</t>
  </si>
  <si>
    <t>lunch 3</t>
  </si>
  <si>
    <t>lunch 4</t>
  </si>
  <si>
    <t>lunch 5</t>
  </si>
  <si>
    <t>afternoon snack 1</t>
  </si>
  <si>
    <t>afternoon snack 2</t>
  </si>
  <si>
    <t>afternoon snack 3</t>
  </si>
  <si>
    <t>afternoon snack 4</t>
  </si>
  <si>
    <t>afternoon snack 5</t>
  </si>
  <si>
    <t>dinner 1</t>
  </si>
  <si>
    <t>dinner 2</t>
  </si>
  <si>
    <t>dinner 3</t>
  </si>
  <si>
    <t>dinner 4</t>
  </si>
  <si>
    <t>dinner 5</t>
  </si>
  <si>
    <t>bf cal 4</t>
  </si>
  <si>
    <t>bf cal 5</t>
  </si>
  <si>
    <t>bf cal Total</t>
  </si>
  <si>
    <t>l cal 1</t>
  </si>
  <si>
    <t>l cal 2</t>
  </si>
  <si>
    <t>l cal 3</t>
  </si>
  <si>
    <t>l cal 4</t>
  </si>
  <si>
    <t>l cal 5</t>
  </si>
  <si>
    <t>l cal Total</t>
  </si>
  <si>
    <t>af cal 1</t>
  </si>
  <si>
    <t>af cal 2</t>
  </si>
  <si>
    <t>af cal 3</t>
  </si>
  <si>
    <t>af cal 4</t>
  </si>
  <si>
    <t>af cal 5</t>
  </si>
  <si>
    <t>af cal Total</t>
  </si>
  <si>
    <t>d cal 1</t>
  </si>
  <si>
    <t>d cal 2</t>
  </si>
  <si>
    <t>d cal 3</t>
  </si>
  <si>
    <t>d cal 4</t>
  </si>
  <si>
    <t>d cal 5</t>
  </si>
  <si>
    <t>d cal Total</t>
  </si>
  <si>
    <t>exercise 1</t>
  </si>
  <si>
    <t>exercise 2</t>
  </si>
  <si>
    <t>exercise 3</t>
  </si>
  <si>
    <t>exercise 4</t>
  </si>
  <si>
    <t>exercise 5</t>
  </si>
  <si>
    <t>ex cal 1</t>
  </si>
  <si>
    <t>ex cal 2</t>
  </si>
  <si>
    <t>ex cal 3</t>
  </si>
  <si>
    <t>ex cal 4</t>
  </si>
  <si>
    <t>ex cal 5</t>
  </si>
  <si>
    <t>ex cal Total</t>
  </si>
  <si>
    <t>42</t>
  </si>
  <si>
    <t>41</t>
  </si>
  <si>
    <t>43</t>
  </si>
  <si>
    <t>45</t>
  </si>
  <si>
    <t>44</t>
  </si>
  <si>
    <t>4</t>
  </si>
  <si>
    <t>2</t>
  </si>
  <si>
    <t xml:space="preserve">  </t>
  </si>
  <si>
    <t xml:space="preserve">Ingested calories </t>
  </si>
  <si>
    <t xml:space="preserve">passive Expended calories </t>
  </si>
  <si>
    <t>Total Expended calories (includes exercise)</t>
  </si>
  <si>
    <t>Stored calories</t>
  </si>
  <si>
    <t>Fat (kg)</t>
  </si>
  <si>
    <t>Weight (kg)</t>
  </si>
  <si>
    <t>Fat free mass (kg)</t>
  </si>
  <si>
    <t>22c</t>
  </si>
  <si>
    <t>35a</t>
  </si>
  <si>
    <t>days</t>
  </si>
  <si>
    <t>30</t>
  </si>
  <si>
    <t>day</t>
  </si>
  <si>
    <t>Sunday</t>
  </si>
  <si>
    <t>Monday</t>
  </si>
  <si>
    <t>Tuesday</t>
  </si>
  <si>
    <t>Wednesday</t>
  </si>
  <si>
    <t>Thursday</t>
  </si>
  <si>
    <t>Friday</t>
  </si>
  <si>
    <t>Saturday</t>
  </si>
  <si>
    <t>48</t>
  </si>
  <si>
    <t>23</t>
  </si>
  <si>
    <t>25</t>
  </si>
  <si>
    <t>breakfast cal Total</t>
  </si>
  <si>
    <t>lunch cal Total</t>
  </si>
  <si>
    <t>afternoon cal Total</t>
  </si>
  <si>
    <t>dinner cal Total</t>
  </si>
  <si>
    <t>exercise cal Total</t>
  </si>
  <si>
    <t>Row Labels</t>
  </si>
  <si>
    <t>Grand Total</t>
  </si>
  <si>
    <t>Average of breakfast cal Total</t>
  </si>
  <si>
    <t>Average of lunch cal Total</t>
  </si>
  <si>
    <t>Average of afternoon cal Total</t>
  </si>
  <si>
    <t>Average of dinner cal Total</t>
  </si>
  <si>
    <t>Average of exercise cal Total</t>
  </si>
  <si>
    <t>most common food eaten</t>
  </si>
  <si>
    <t>counts</t>
  </si>
  <si>
    <t># row of most preferred item</t>
  </si>
  <si>
    <t>code of most preferred item</t>
  </si>
  <si>
    <t>name of most preferred item</t>
  </si>
  <si>
    <t># row of most preferred exercise</t>
  </si>
  <si>
    <t>code of most preferred exercice</t>
  </si>
  <si>
    <t># row of most preferred food</t>
  </si>
  <si>
    <t>code of most preferred food</t>
  </si>
  <si>
    <t>name of most preferred food</t>
  </si>
  <si>
    <t>name of most preferred exercise</t>
  </si>
  <si>
    <t xml:space="preserve">Average of Ingested calories </t>
  </si>
  <si>
    <t>Average of Total Expended calories (includes exercise)</t>
  </si>
  <si>
    <t>Average of Stored calories</t>
  </si>
  <si>
    <t>Maximum accepted Stored calories</t>
  </si>
  <si>
    <t>mean</t>
  </si>
  <si>
    <t>Standard Deviation</t>
  </si>
  <si>
    <t>Rank</t>
  </si>
  <si>
    <t>Probability</t>
  </si>
  <si>
    <t xml:space="preserve">Standard Normal </t>
  </si>
  <si>
    <t>Standardized</t>
  </si>
  <si>
    <t>X^2</t>
  </si>
  <si>
    <t>X^2 (sum)</t>
  </si>
  <si>
    <t>Degrees if freedom</t>
  </si>
  <si>
    <t>Pvalue</t>
  </si>
  <si>
    <t>Mean</t>
  </si>
  <si>
    <t>Variance</t>
  </si>
  <si>
    <t>Observations</t>
  </si>
  <si>
    <t>Hypothesized Mean Difference</t>
  </si>
  <si>
    <t>df</t>
  </si>
  <si>
    <t>t Stat</t>
  </si>
  <si>
    <t>P(T&lt;=t) one-tail</t>
  </si>
  <si>
    <t>t Critical one-tail</t>
  </si>
  <si>
    <t>P(T&lt;=t) two-tail</t>
  </si>
  <si>
    <t>t Critical two-tail</t>
  </si>
  <si>
    <t>t-Test: Two-Sample Assuming Unequal Variances</t>
  </si>
  <si>
    <t>Maximum accepted Stored calories (with 500 cal/day --&gt; 82 kg)</t>
  </si>
  <si>
    <t>forecast with max-7 days moving average</t>
  </si>
  <si>
    <t>forecast with max-7 days weighted moving average</t>
  </si>
  <si>
    <t>Upper constraint</t>
  </si>
  <si>
    <t>MSE Moving Avg</t>
  </si>
  <si>
    <t>MSE Weighted Moving Avg</t>
  </si>
  <si>
    <t>MSE Exp Sm</t>
  </si>
  <si>
    <t>forecast with Exponential Smoothing</t>
  </si>
  <si>
    <t>Moving Avg Range (MA)</t>
  </si>
  <si>
    <t>Weighted Moving Range (WMA)</t>
  </si>
  <si>
    <t>Weight (alpha) (WMA)</t>
  </si>
  <si>
    <t>Alpha Exp Smoothing (ES)</t>
  </si>
  <si>
    <t>Average MSE for MA</t>
  </si>
  <si>
    <t>Average MSE for WMA</t>
  </si>
  <si>
    <t>Average MSE for ES</t>
  </si>
  <si>
    <t>objective functions</t>
  </si>
  <si>
    <t>constraints</t>
  </si>
  <si>
    <t>variable cell</t>
  </si>
  <si>
    <t>Weight (kg) time-1</t>
  </si>
  <si>
    <t>Weight (kg) time-2</t>
  </si>
  <si>
    <t>Weight (kg) time-3</t>
  </si>
  <si>
    <t>MSE</t>
  </si>
  <si>
    <t>Forecast with auto regression</t>
  </si>
  <si>
    <t>SUMMARY OUTPUT</t>
  </si>
  <si>
    <t>Regression Statistics</t>
  </si>
  <si>
    <t>Multiple R</t>
  </si>
  <si>
    <t>R Square</t>
  </si>
  <si>
    <t>Adjusted R Square</t>
  </si>
  <si>
    <t>Standard Error</t>
  </si>
  <si>
    <t>ANOVA</t>
  </si>
  <si>
    <t>Regression</t>
  </si>
  <si>
    <t>Residual</t>
  </si>
  <si>
    <t>Total</t>
  </si>
  <si>
    <t>Intercept</t>
  </si>
  <si>
    <t>SS</t>
  </si>
  <si>
    <t>MS</t>
  </si>
  <si>
    <t>F</t>
  </si>
  <si>
    <t>Significance F</t>
  </si>
  <si>
    <t>Coefficients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</si>
  <si>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</si>
  <si>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</si>
  <si>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</si>
  <si>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</si>
  <si>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</si>
  <si>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</si>
  <si>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</si>
  <si>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X Variable 3</t>
  </si>
  <si>
    <t>time-1</t>
  </si>
  <si>
    <t>time-2</t>
  </si>
  <si>
    <t>time-3</t>
  </si>
  <si>
    <t>Mean MSE</t>
  </si>
  <si>
    <t>Forecast with 3-days Moving Mean</t>
  </si>
  <si>
    <t>ARMA</t>
  </si>
  <si>
    <t>alpha</t>
  </si>
  <si>
    <t>1-alpha</t>
  </si>
  <si>
    <t>MSE for auto regression</t>
  </si>
  <si>
    <t>MSE for 3-d MA</t>
  </si>
  <si>
    <t>MSE for ARMA</t>
  </si>
  <si>
    <t>weight for ARMA</t>
  </si>
  <si>
    <t>means:</t>
  </si>
  <si>
    <t>dWeight</t>
  </si>
  <si>
    <t>dWeight (time-1)</t>
  </si>
  <si>
    <t>dWeight (time-2)</t>
  </si>
  <si>
    <t>dWeight (time-3)</t>
  </si>
  <si>
    <t>Auto Regression of dWeight</t>
  </si>
  <si>
    <t>Moving Average (3 days) of dWeight</t>
  </si>
  <si>
    <t>ARMA of dWeight</t>
  </si>
  <si>
    <t xml:space="preserve">ARIMA </t>
  </si>
  <si>
    <t>mse of ARIMA</t>
  </si>
  <si>
    <t>mse of ARMA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</si>
</sst>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b/>
      <i/>
      <sz val="11"/>
      <color theme="1"/>
      <name val="Calibri"/>
      <family val="2"/>
      <charset val="161"/>
      <scheme val="minor"/>
    </font>
    <font>
      <b/>
      <i/>
      <u/>
      <sz val="11"/>
      <color theme="1"/>
      <name val="Calibri"/>
      <family val="2"/>
      <charset val="161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charset val="161"/>
      <scheme val="minor"/>
    </font>
    <font>
      <sz val="11"/>
      <name val="Calibri"/>
      <family val="2"/>
      <charset val="161"/>
      <scheme val="minor"/>
    </font>
    <font>
      <b/>
      <sz val="11"/>
      <color rgb="FF7030A0"/>
      <name val="Calibri"/>
      <family val="2"/>
      <charset val="161"/>
      <scheme val="minor"/>
    </font>
    <font>
      <b/>
      <sz val="11"/>
      <color rgb="FFFF00FF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charset val="161"/>
      <scheme val="minor"/>
    </font>
    <font>
      <b/>
      <sz val="11"/>
      <color rgb="FFC00000"/>
      <name val="Calibri"/>
      <family val="2"/>
      <charset val="161"/>
      <scheme val="minor"/>
    </font>
    <font>
      <b/>
      <sz val="11"/>
      <color rgb="FF00B050"/>
      <name val="Calibri"/>
      <family val="2"/>
      <charset val="161"/>
      <scheme val="minor"/>
    </font>
    <font>
      <b/>
      <i/>
      <sz val="11"/>
      <color rgb="FF00B050"/>
      <name val="Calibri"/>
      <family val="2"/>
      <charset val="161"/>
      <scheme val="minor"/>
    </font>
    <font>
      <b/>
      <sz val="11"/>
      <color theme="1" tint="0.14999847407452621"/>
      <name val="Calibri"/>
      <family val="2"/>
      <charset val="161"/>
      <scheme val="minor"/>
    </font>
    <font>
      <b/>
      <i/>
      <sz val="11"/>
      <color rgb="FFC00000"/>
      <name val="Calibri"/>
      <family val="2"/>
      <charset val="161"/>
      <scheme val="minor"/>
    </font>
    <font>
      <b/>
      <sz val="11"/>
      <color rgb="FF0070C0"/>
      <name val="Calibri"/>
      <family val="2"/>
      <charset val="161"/>
      <scheme val="minor"/>
    </font>
    <font>
      <b/>
      <i/>
      <sz val="11"/>
      <color rgb="FF002060"/>
      <name val="Calibri"/>
      <family val="2"/>
      <charset val="161"/>
      <scheme val="minor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BE6076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7">
    <xf numFmtId="0" fontId="0" fillId="0" borderId="0" xfId="0"/>
    <xf numFmtId="0" fontId="1" fillId="2" borderId="1" xfId="0" applyFont="1" applyFill="1" applyBorder="1" applyAlignment="1">
      <alignment horizontal="center"/>
    </xf>
    <xf numFmtId="49" fontId="0" fillId="0" borderId="0" xfId="0" applyNumberFormat="1"/>
    <xf numFmtId="49" fontId="1" fillId="2" borderId="4" xfId="0" applyNumberFormat="1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49" fontId="1" fillId="2" borderId="11" xfId="0" applyNumberFormat="1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1" fillId="3" borderId="1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1" fillId="7" borderId="15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center"/>
    </xf>
    <xf numFmtId="0" fontId="1" fillId="8" borderId="0" xfId="0" applyFont="1" applyFill="1" applyAlignment="1">
      <alignment horizontal="center"/>
    </xf>
    <xf numFmtId="0" fontId="3" fillId="5" borderId="16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14" xfId="0" applyFont="1" applyFill="1" applyBorder="1" applyAlignment="1">
      <alignment horizontal="center"/>
    </xf>
    <xf numFmtId="0" fontId="3" fillId="9" borderId="14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11" borderId="20" xfId="0" applyFont="1" applyFill="1" applyBorder="1" applyAlignment="1">
      <alignment horizontal="center"/>
    </xf>
    <xf numFmtId="0" fontId="1" fillId="11" borderId="17" xfId="0" applyFont="1" applyFill="1" applyBorder="1" applyAlignment="1">
      <alignment horizontal="center"/>
    </xf>
    <xf numFmtId="14" fontId="0" fillId="10" borderId="18" xfId="0" applyNumberFormat="1" applyFill="1" applyBorder="1"/>
    <xf numFmtId="14" fontId="0" fillId="0" borderId="18" xfId="0" applyNumberFormat="1" applyBorder="1"/>
    <xf numFmtId="0" fontId="1" fillId="12" borderId="17" xfId="0" applyFon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14" fontId="0" fillId="10" borderId="0" xfId="0" applyNumberFormat="1" applyFill="1"/>
    <xf numFmtId="0" fontId="1" fillId="0" borderId="8" xfId="0" applyFont="1" applyBorder="1"/>
    <xf numFmtId="0" fontId="1" fillId="0" borderId="10" xfId="0" applyFont="1" applyBorder="1"/>
    <xf numFmtId="49" fontId="2" fillId="0" borderId="0" xfId="0" applyNumberFormat="1" applyFont="1"/>
    <xf numFmtId="49" fontId="2" fillId="0" borderId="9" xfId="0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4" fontId="5" fillId="0" borderId="0" xfId="0" applyNumberFormat="1" applyFont="1"/>
    <xf numFmtId="164" fontId="7" fillId="0" borderId="0" xfId="0" applyNumberFormat="1" applyFont="1"/>
    <xf numFmtId="164" fontId="6" fillId="0" borderId="0" xfId="0" applyNumberFormat="1" applyFont="1"/>
    <xf numFmtId="164" fontId="8" fillId="0" borderId="0" xfId="0" applyNumberFormat="1" applyFont="1"/>
    <xf numFmtId="0" fontId="1" fillId="2" borderId="11" xfId="0" applyFont="1" applyFill="1" applyBorder="1" applyAlignment="1">
      <alignment horizontal="center"/>
    </xf>
    <xf numFmtId="0" fontId="0" fillId="14" borderId="23" xfId="0" applyFill="1" applyBorder="1"/>
    <xf numFmtId="0" fontId="0" fillId="14" borderId="21" xfId="0" applyFill="1" applyBorder="1"/>
    <xf numFmtId="0" fontId="0" fillId="14" borderId="7" xfId="0" applyFill="1" applyBorder="1"/>
    <xf numFmtId="0" fontId="0" fillId="14" borderId="8" xfId="0" applyFill="1" applyBorder="1"/>
    <xf numFmtId="0" fontId="0" fillId="14" borderId="22" xfId="0" applyFill="1" applyBorder="1"/>
    <xf numFmtId="0" fontId="0" fillId="14" borderId="10" xfId="0" applyFill="1" applyBorder="1"/>
    <xf numFmtId="0" fontId="0" fillId="15" borderId="23" xfId="0" applyFill="1" applyBorder="1"/>
    <xf numFmtId="0" fontId="0" fillId="15" borderId="21" xfId="0" applyFill="1" applyBorder="1"/>
    <xf numFmtId="0" fontId="0" fillId="15" borderId="7" xfId="0" applyFill="1" applyBorder="1"/>
    <xf numFmtId="0" fontId="0" fillId="15" borderId="8" xfId="0" applyFill="1" applyBorder="1"/>
    <xf numFmtId="0" fontId="0" fillId="15" borderId="22" xfId="0" applyFill="1" applyBorder="1"/>
    <xf numFmtId="0" fontId="0" fillId="15" borderId="10" xfId="0" applyFill="1" applyBorder="1"/>
    <xf numFmtId="0" fontId="1" fillId="16" borderId="11" xfId="0" applyFont="1" applyFill="1" applyBorder="1" applyAlignment="1">
      <alignment horizontal="center"/>
    </xf>
    <xf numFmtId="0" fontId="0" fillId="0" borderId="21" xfId="0" applyBorder="1"/>
    <xf numFmtId="0" fontId="0" fillId="0" borderId="10" xfId="0" applyBorder="1"/>
    <xf numFmtId="0" fontId="1" fillId="4" borderId="1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0" fontId="1" fillId="18" borderId="25" xfId="0" applyFont="1" applyFill="1" applyBorder="1" applyAlignment="1">
      <alignment horizontal="center"/>
    </xf>
    <xf numFmtId="0" fontId="5" fillId="0" borderId="24" xfId="0" applyFont="1" applyBorder="1"/>
    <xf numFmtId="0" fontId="9" fillId="17" borderId="2" xfId="0" applyFont="1" applyFill="1" applyBorder="1" applyAlignment="1">
      <alignment horizontal="center"/>
    </xf>
    <xf numFmtId="0" fontId="9" fillId="6" borderId="17" xfId="0" applyFont="1" applyFill="1" applyBorder="1" applyAlignment="1">
      <alignment horizontal="center"/>
    </xf>
    <xf numFmtId="0" fontId="9" fillId="11" borderId="23" xfId="0" applyFont="1" applyFill="1" applyBorder="1" applyAlignment="1">
      <alignment horizontal="center"/>
    </xf>
    <xf numFmtId="0" fontId="9" fillId="11" borderId="22" xfId="0" applyFont="1" applyFill="1" applyBorder="1"/>
    <xf numFmtId="0" fontId="9" fillId="16" borderId="17" xfId="0" applyFont="1" applyFill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1" fillId="19" borderId="24" xfId="0" applyFont="1" applyFill="1" applyBorder="1"/>
    <xf numFmtId="0" fontId="0" fillId="0" borderId="23" xfId="0" applyBorder="1"/>
    <xf numFmtId="0" fontId="0" fillId="0" borderId="27" xfId="0" applyBorder="1"/>
    <xf numFmtId="0" fontId="9" fillId="20" borderId="1" xfId="0" applyFont="1" applyFill="1" applyBorder="1"/>
    <xf numFmtId="0" fontId="9" fillId="20" borderId="1" xfId="0" applyFont="1" applyFill="1" applyBorder="1" applyAlignment="1">
      <alignment horizontal="center"/>
    </xf>
    <xf numFmtId="0" fontId="9" fillId="21" borderId="1" xfId="0" applyFont="1" applyFill="1" applyBorder="1" applyAlignment="1">
      <alignment horizontal="center"/>
    </xf>
    <xf numFmtId="0" fontId="9" fillId="22" borderId="1" xfId="0" applyFont="1" applyFill="1" applyBorder="1" applyAlignment="1">
      <alignment horizontal="center"/>
    </xf>
    <xf numFmtId="0" fontId="0" fillId="4" borderId="0" xfId="0" applyFill="1"/>
    <xf numFmtId="0" fontId="11" fillId="20" borderId="1" xfId="0" applyFont="1" applyFill="1" applyBorder="1" applyAlignment="1">
      <alignment horizontal="left"/>
    </xf>
    <xf numFmtId="0" fontId="11" fillId="8" borderId="1" xfId="0" applyFont="1" applyFill="1" applyBorder="1" applyAlignment="1">
      <alignment horizontal="left"/>
    </xf>
    <xf numFmtId="0" fontId="2" fillId="23" borderId="1" xfId="0" applyFont="1" applyFill="1" applyBorder="1"/>
    <xf numFmtId="0" fontId="0" fillId="0" borderId="1" xfId="0" applyBorder="1"/>
    <xf numFmtId="0" fontId="11" fillId="22" borderId="1" xfId="0" applyFont="1" applyFill="1" applyBorder="1"/>
    <xf numFmtId="0" fontId="1" fillId="12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0" fillId="0" borderId="30" xfId="0" applyBorder="1"/>
    <xf numFmtId="0" fontId="0" fillId="0" borderId="31" xfId="0" applyBorder="1"/>
    <xf numFmtId="0" fontId="0" fillId="0" borderId="2" xfId="0" applyBorder="1"/>
    <xf numFmtId="14" fontId="0" fillId="0" borderId="29" xfId="0" applyNumberFormat="1" applyBorder="1"/>
    <xf numFmtId="0" fontId="0" fillId="0" borderId="29" xfId="0" applyBorder="1"/>
    <xf numFmtId="0" fontId="0" fillId="0" borderId="3" xfId="0" applyBorder="1"/>
    <xf numFmtId="0" fontId="0" fillId="4" borderId="30" xfId="0" applyFill="1" applyBorder="1"/>
    <xf numFmtId="0" fontId="5" fillId="0" borderId="15" xfId="0" applyFont="1" applyBorder="1"/>
    <xf numFmtId="14" fontId="5" fillId="0" borderId="28" xfId="0" applyNumberFormat="1" applyFont="1" applyBorder="1"/>
    <xf numFmtId="0" fontId="5" fillId="0" borderId="28" xfId="0" applyFont="1" applyBorder="1"/>
    <xf numFmtId="0" fontId="5" fillId="0" borderId="16" xfId="0" applyFont="1" applyBorder="1"/>
    <xf numFmtId="0" fontId="5" fillId="16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center"/>
    </xf>
    <xf numFmtId="0" fontId="10" fillId="0" borderId="26" xfId="0" applyFont="1" applyBorder="1" applyAlignment="1">
      <alignment horizontal="centerContinuous"/>
    </xf>
    <xf numFmtId="0" fontId="1" fillId="19" borderId="0" xfId="0" applyFont="1" applyFill="1"/>
    <xf numFmtId="0" fontId="1" fillId="24" borderId="0" xfId="0" applyFont="1" applyFill="1"/>
    <xf numFmtId="0" fontId="1" fillId="24" borderId="9" xfId="0" applyFont="1" applyFill="1" applyBorder="1"/>
    <xf numFmtId="0" fontId="1" fillId="3" borderId="0" xfId="0" applyFont="1" applyFill="1"/>
    <xf numFmtId="0" fontId="6" fillId="0" borderId="1" xfId="0" applyFont="1" applyBorder="1"/>
    <xf numFmtId="0" fontId="14" fillId="0" borderId="1" xfId="0" applyFont="1" applyBorder="1"/>
    <xf numFmtId="0" fontId="15" fillId="24" borderId="1" xfId="0" applyFont="1" applyFill="1" applyBorder="1"/>
    <xf numFmtId="14" fontId="5" fillId="0" borderId="1" xfId="0" applyNumberFormat="1" applyFont="1" applyBorder="1"/>
    <xf numFmtId="0" fontId="13" fillId="0" borderId="1" xfId="0" applyFont="1" applyBorder="1" applyAlignment="1">
      <alignment horizontal="center"/>
    </xf>
    <xf numFmtId="0" fontId="0" fillId="24" borderId="0" xfId="0" applyFill="1"/>
    <xf numFmtId="0" fontId="0" fillId="4" borderId="1" xfId="0" applyFill="1" applyBorder="1"/>
    <xf numFmtId="0" fontId="2" fillId="4" borderId="1" xfId="0" applyFont="1" applyFill="1" applyBorder="1"/>
    <xf numFmtId="0" fontId="9" fillId="8" borderId="1" xfId="0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2" fillId="0" borderId="32" xfId="0" applyFont="1" applyBorder="1" applyAlignment="1">
      <alignment horizontal="center"/>
    </xf>
    <xf numFmtId="0" fontId="0" fillId="16" borderId="0" xfId="0" applyFill="1"/>
    <xf numFmtId="0" fontId="9" fillId="22" borderId="15" xfId="0" applyFont="1" applyFill="1" applyBorder="1" applyAlignment="1">
      <alignment horizontal="center"/>
    </xf>
    <xf numFmtId="0" fontId="9" fillId="16" borderId="0" xfId="0" applyFont="1" applyFill="1" applyAlignment="1">
      <alignment horizontal="center"/>
    </xf>
    <xf numFmtId="0" fontId="16" fillId="0" borderId="0" xfId="0" applyFont="1"/>
    <xf numFmtId="0" fontId="12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0" fillId="12" borderId="0" xfId="0" applyFill="1"/>
    <xf numFmtId="0" fontId="1" fillId="24" borderId="1" xfId="0" applyFont="1" applyFill="1" applyBorder="1"/>
    <xf numFmtId="0" fontId="5" fillId="16" borderId="25" xfId="0" applyFont="1" applyFill="1" applyBorder="1"/>
    <xf numFmtId="0" fontId="18" fillId="0" borderId="24" xfId="0" applyFont="1" applyBorder="1"/>
    <xf numFmtId="0" fontId="5" fillId="16" borderId="0" xfId="0" applyFont="1" applyFill="1"/>
    <xf numFmtId="0" fontId="18" fillId="0" borderId="0" xfId="0" applyFont="1"/>
    <xf numFmtId="0" fontId="10" fillId="0" borderId="33" xfId="0" applyFont="1" applyBorder="1" applyAlignment="1">
      <alignment horizontal="centerContinuous"/>
    </xf>
    <xf numFmtId="0" fontId="0" fillId="0" borderId="22" xfId="0" applyBorder="1"/>
    <xf numFmtId="0" fontId="10" fillId="0" borderId="33" xfId="0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14" fontId="0" fillId="10" borderId="36" xfId="0" applyNumberFormat="1" applyFill="1" applyBorder="1"/>
    <xf numFmtId="14" fontId="0" fillId="10" borderId="35" xfId="0" applyNumberFormat="1" applyFill="1" applyBorder="1"/>
    <xf numFmtId="0" fontId="19" fillId="0" borderId="37" xfId="0" applyFont="1" applyBorder="1"/>
    <xf numFmtId="14" fontId="19" fillId="0" borderId="38" xfId="0" applyNumberFormat="1" applyFont="1" applyBorder="1"/>
    <xf numFmtId="0" fontId="19" fillId="0" borderId="38" xfId="0" applyFont="1" applyBorder="1"/>
    <xf numFmtId="0" fontId="19" fillId="0" borderId="39" xfId="0" applyFont="1" applyBorder="1"/>
    <xf numFmtId="0" fontId="5" fillId="0" borderId="4" xfId="0" applyFont="1" applyBorder="1"/>
    <xf numFmtId="14" fontId="5" fillId="0" borderId="5" xfId="0" applyNumberFormat="1" applyFont="1" applyBorder="1"/>
    <xf numFmtId="0" fontId="5" fillId="13" borderId="5" xfId="0" applyFont="1" applyFill="1" applyBorder="1"/>
    <xf numFmtId="0" fontId="5" fillId="0" borderId="5" xfId="0" applyFont="1" applyBorder="1"/>
    <xf numFmtId="0" fontId="5" fillId="13" borderId="6" xfId="0" applyFont="1" applyFill="1" applyBorder="1"/>
    <xf numFmtId="0" fontId="0" fillId="13" borderId="8" xfId="0" applyFill="1" applyBorder="1"/>
    <xf numFmtId="0" fontId="0" fillId="13" borderId="10" xfId="0" applyFill="1" applyBorder="1"/>
    <xf numFmtId="0" fontId="13" fillId="0" borderId="4" xfId="0" applyFont="1" applyBorder="1"/>
    <xf numFmtId="0" fontId="5" fillId="13" borderId="40" xfId="0" applyFont="1" applyFill="1" applyBorder="1"/>
    <xf numFmtId="0" fontId="13" fillId="0" borderId="32" xfId="0" applyFont="1" applyBorder="1"/>
    <xf numFmtId="14" fontId="13" fillId="0" borderId="5" xfId="0" applyNumberFormat="1" applyFont="1" applyBorder="1"/>
    <xf numFmtId="14" fontId="13" fillId="0" borderId="40" xfId="0" applyNumberFormat="1" applyFont="1" applyBorder="1"/>
    <xf numFmtId="0" fontId="13" fillId="0" borderId="5" xfId="0" applyFont="1" applyBorder="1"/>
    <xf numFmtId="0" fontId="13" fillId="0" borderId="40" xfId="0" applyFont="1" applyBorder="1"/>
    <xf numFmtId="0" fontId="3" fillId="0" borderId="0" xfId="0" applyFont="1" applyAlignment="1">
      <alignment horizontal="center"/>
    </xf>
    <xf numFmtId="0" fontId="0" fillId="0" borderId="0" xfId="0" applyBorder="1"/>
  </cellXfs>
  <cellStyles count="1">
    <cellStyle name="Normal" xfId="0" builtinId="0"/>
  </cellStyles>
  <dxfs count="55">
    <dxf>
      <numFmt numFmtId="164" formatCode="0.0"/>
    </dxf>
    <dxf>
      <font>
        <b/>
        <charset val="161"/>
      </font>
    </dxf>
    <dxf>
      <font>
        <color rgb="FFFF00FF"/>
      </font>
    </dxf>
    <dxf>
      <font>
        <b/>
        <charset val="161"/>
      </font>
    </dxf>
    <dxf>
      <font>
        <color rgb="FFFF0000"/>
      </font>
    </dxf>
    <dxf>
      <font>
        <b/>
      </font>
    </dxf>
    <dxf>
      <font>
        <color rgb="FFFF0000"/>
      </font>
    </dxf>
    <dxf>
      <font>
        <b/>
        <charset val="161"/>
      </font>
    </dxf>
    <dxf>
      <font>
        <color rgb="FF7030A0"/>
      </font>
    </dxf>
    <dxf>
      <font>
        <b/>
        <charset val="161"/>
      </font>
    </dxf>
    <dxf>
      <font>
        <color rgb="FF7030A0"/>
      </font>
    </dxf>
    <dxf>
      <font>
        <b val="0"/>
      </font>
    </dxf>
    <dxf>
      <font>
        <color auto="1"/>
      </font>
    </dxf>
    <dxf>
      <font>
        <b val="0"/>
      </font>
    </dxf>
    <dxf>
      <font>
        <color auto="1"/>
      </font>
    </dxf>
    <dxf>
      <font>
        <b/>
        <charset val="161"/>
      </font>
    </dxf>
    <dxf>
      <font>
        <color rgb="FFFF0000"/>
      </font>
    </dxf>
    <dxf>
      <font>
        <b/>
        <charset val="161"/>
      </font>
    </dxf>
    <dxf>
      <font>
        <color rgb="FFFF0000"/>
      </font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9" formatCode="m/d/yyyy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0070C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m/d/yyyy"/>
    </dxf>
    <dxf>
      <numFmt numFmtId="19" formatCode="m/d/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fill>
        <patternFill patternType="solid">
          <fgColor indexed="64"/>
          <bgColor rgb="FFBE607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00FF"/>
      <color rgb="FFBE60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 time</a:t>
            </a:r>
            <a:r>
              <a:rPr lang="en-US" baseline="0"/>
              <a:t> series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'calorie daily budget'!$I$1</c:f>
              <c:strCache>
                <c:ptCount val="1"/>
                <c:pt idx="0">
                  <c:v>Weight (kg)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'calorie daily budget'!$I$2:$I$32</c:f>
              <c:numCache>
                <c:formatCode>General</c:formatCode>
                <c:ptCount val="31"/>
                <c:pt idx="0">
                  <c:v>80</c:v>
                </c:pt>
                <c:pt idx="1">
                  <c:v>80.050577237353068</c:v>
                </c:pt>
                <c:pt idx="2">
                  <c:v>80.161321681739125</c:v>
                </c:pt>
                <c:pt idx="3">
                  <c:v>80.385043851121637</c:v>
                </c:pt>
                <c:pt idx="4">
                  <c:v>80.497233359432073</c:v>
                </c:pt>
                <c:pt idx="5">
                  <c:v>80.676946763845038</c:v>
                </c:pt>
                <c:pt idx="6">
                  <c:v>80.67379389710095</c:v>
                </c:pt>
                <c:pt idx="7">
                  <c:v>80.844311440176995</c:v>
                </c:pt>
                <c:pt idx="8">
                  <c:v>81.02402484458996</c:v>
                </c:pt>
                <c:pt idx="9">
                  <c:v>81.031381533659498</c:v>
                </c:pt>
                <c:pt idx="10">
                  <c:v>81.014828983253039</c:v>
                </c:pt>
                <c:pt idx="11">
                  <c:v>81.134900658423689</c:v>
                </c:pt>
                <c:pt idx="12">
                  <c:v>81.239207999873898</c:v>
                </c:pt>
                <c:pt idx="13">
                  <c:v>81.245645102809746</c:v>
                </c:pt>
                <c:pt idx="14">
                  <c:v>81.496823486755346</c:v>
                </c:pt>
                <c:pt idx="15">
                  <c:v>81.756934993142522</c:v>
                </c:pt>
                <c:pt idx="16">
                  <c:v>81.95963805089778</c:v>
                </c:pt>
                <c:pt idx="17">
                  <c:v>81.886465268545422</c:v>
                </c:pt>
                <c:pt idx="18">
                  <c:v>81.974220059589186</c:v>
                </c:pt>
                <c:pt idx="19">
                  <c:v>81.99523917121644</c:v>
                </c:pt>
                <c:pt idx="20">
                  <c:v>82.084044917841567</c:v>
                </c:pt>
                <c:pt idx="21">
                  <c:v>82.390529839256359</c:v>
                </c:pt>
                <c:pt idx="22">
                  <c:v>82.414570448180029</c:v>
                </c:pt>
                <c:pt idx="23">
                  <c:v>82.638029878667197</c:v>
                </c:pt>
                <c:pt idx="24">
                  <c:v>82.766771937384078</c:v>
                </c:pt>
                <c:pt idx="25">
                  <c:v>82.861620678602037</c:v>
                </c:pt>
                <c:pt idx="26">
                  <c:v>83.145641424465211</c:v>
                </c:pt>
                <c:pt idx="27">
                  <c:v>83.285287147338735</c:v>
                </c:pt>
                <c:pt idx="28">
                  <c:v>83.547631934336309</c:v>
                </c:pt>
                <c:pt idx="29">
                  <c:v>83.749546775405548</c:v>
                </c:pt>
                <c:pt idx="30">
                  <c:v>83.748233080928841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BE-4B28-AC33-5A57A6073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2494016"/>
        <c:axId val="1302482784"/>
      </c:lineChart>
      <c:catAx>
        <c:axId val="130249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days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482784"/>
        <c:crosses val="autoZero"/>
        <c:auto val="1"/>
        <c:lblAlgn val="ctr"/>
        <c:lblOffset val="100"/>
        <c:noMultiLvlLbl val="0"/>
      </c:catAx>
      <c:valAx>
        <c:axId val="130248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  <a:r>
                  <a:rPr lang="en-US" baseline="0"/>
                  <a:t> (kg)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49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[Nutrition_Analysis_DA.xlsm]Daily habits!PivotTable1</c:name>
    <c:fmtId val="3"/>
  </c:pivotSource>
  <c:chart>
    <c:autoTitleDeleted val="0"/>
    <c:pivotFmts>
      <c:pivotFmt>
        <c:idx val="0"/>
        <c:spPr>
          <a:gradFill flip="none" rotWithShape="1">
            <a:gsLst>
              <a:gs pos="0">
                <a:srgbClr val="FF00FF">
                  <a:shade val="30000"/>
                  <a:satMod val="115000"/>
                </a:srgbClr>
              </a:gs>
              <a:gs pos="50000">
                <a:srgbClr val="FF00FF">
                  <a:shade val="67500"/>
                  <a:satMod val="115000"/>
                </a:srgbClr>
              </a:gs>
              <a:gs pos="100000">
                <a:srgbClr val="FF00FF">
                  <a:shade val="100000"/>
                  <a:satMod val="115000"/>
                </a:srgbClr>
              </a:gs>
            </a:gsLst>
            <a:path path="circle">
              <a:fillToRect t="100000" r="100000"/>
            </a:path>
            <a:tileRect l="-100000" b="-100000"/>
          </a:gradFill>
          <a:ln w="127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path path="circle">
              <a:fillToRect t="100000" r="100000"/>
            </a:path>
            <a:tileRect l="-100000" b="-100000"/>
          </a:gradFill>
          <a:ln w="127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1">
                  <a:lumMod val="75000"/>
                  <a:shade val="30000"/>
                  <a:satMod val="115000"/>
                </a:schemeClr>
              </a:gs>
              <a:gs pos="50000">
                <a:schemeClr val="accent1">
                  <a:lumMod val="75000"/>
                  <a:shade val="67500"/>
                  <a:satMod val="115000"/>
                </a:schemeClr>
              </a:gs>
              <a:gs pos="100000">
                <a:schemeClr val="accent1">
                  <a:lumMod val="75000"/>
                  <a:shade val="100000"/>
                  <a:satMod val="115000"/>
                </a:schemeClr>
              </a:gs>
            </a:gsLst>
            <a:path path="circle">
              <a:fillToRect t="100000" r="100000"/>
            </a:path>
            <a:tileRect l="-100000" b="-100000"/>
          </a:gradFill>
          <a:ln w="127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chemeClr val="accent6">
                  <a:shade val="30000"/>
                  <a:satMod val="115000"/>
                </a:schemeClr>
              </a:gs>
              <a:gs pos="50000">
                <a:schemeClr val="accent6">
                  <a:shade val="67500"/>
                  <a:satMod val="115000"/>
                </a:schemeClr>
              </a:gs>
              <a:gs pos="100000">
                <a:schemeClr val="accent6">
                  <a:shade val="100000"/>
                  <a:satMod val="115000"/>
                </a:schemeClr>
              </a:gs>
            </a:gsLst>
            <a:path path="circle">
              <a:fillToRect t="100000" r="100000"/>
            </a:path>
            <a:tileRect l="-100000" b="-100000"/>
          </a:gradFill>
          <a:ln w="12700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FFC000">
                  <a:shade val="30000"/>
                  <a:satMod val="115000"/>
                </a:srgbClr>
              </a:gs>
              <a:gs pos="50000">
                <a:srgbClr val="FFC000">
                  <a:shade val="67500"/>
                  <a:satMod val="115000"/>
                </a:srgbClr>
              </a:gs>
              <a:gs pos="100000">
                <a:srgbClr val="FFC000">
                  <a:shade val="100000"/>
                  <a:satMod val="115000"/>
                </a:srgbClr>
              </a:gs>
            </a:gsLst>
            <a:path path="circle">
              <a:fillToRect t="100000" r="100000"/>
            </a:path>
            <a:tileRect l="-100000" b="-100000"/>
          </a:gradFill>
          <a:ln w="12700"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chemeClr val="accent1">
                  <a:lumMod val="75000"/>
                  <a:shade val="30000"/>
                  <a:satMod val="115000"/>
                </a:schemeClr>
              </a:gs>
              <a:gs pos="50000">
                <a:schemeClr val="accent1">
                  <a:lumMod val="75000"/>
                  <a:shade val="67500"/>
                  <a:satMod val="115000"/>
                </a:schemeClr>
              </a:gs>
              <a:gs pos="100000">
                <a:schemeClr val="accent1">
                  <a:lumMod val="75000"/>
                  <a:shade val="100000"/>
                  <a:satMod val="115000"/>
                </a:schemeClr>
              </a:gs>
            </a:gsLst>
            <a:path path="circle">
              <a:fillToRect t="100000" r="100000"/>
            </a:path>
            <a:tileRect l="-100000" b="-100000"/>
          </a:gradFill>
          <a:ln w="12700">
            <a:solidFill>
              <a:schemeClr val="tx1"/>
            </a:soli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'Daily habits'!$B$3</c:f>
              <c:strCache>
                <c:ptCount val="1"/>
                <c:pt idx="0">
                  <c:v>Average of breakfast cal Total</c:v>
                </c:pt>
              </c:strCache>
            </c:strRef>
          </c:tx>
          <c:spPr>
            <a:gradFill flip="none" rotWithShape="1">
              <a:gsLst>
                <a:gs pos="0">
                  <a:srgbClr val="FF00FF">
                    <a:shade val="30000"/>
                    <a:satMod val="115000"/>
                  </a:srgbClr>
                </a:gs>
                <a:gs pos="50000">
                  <a:srgbClr val="FF00FF">
                    <a:shade val="67500"/>
                    <a:satMod val="115000"/>
                  </a:srgbClr>
                </a:gs>
                <a:gs pos="100000">
                  <a:srgbClr val="FF00FF">
                    <a:shade val="100000"/>
                    <a:satMod val="115000"/>
                  </a:srgbClr>
                </a:gs>
              </a:gsLst>
              <a:path path="circle">
                <a:fillToRect t="100000" r="100000"/>
              </a:path>
              <a:tileRect l="-100000" b="-100000"/>
            </a:gradFill>
            <a:ln w="12700">
              <a:solidFill>
                <a:schemeClr val="tx1"/>
              </a:solidFill>
            </a:ln>
            <a:effectLst/>
          </c:spPr>
          <c:invertIfNegative val="0"/>
          <c:cat>
            <c:strRef>
              <c:f>'Daily habits'!$A$4:$A$11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'Daily habits'!$B$4:$B$11</c:f>
              <c:numCache>
                <c:formatCode>0.0</c:formatCode>
                <c:ptCount val="7"/>
                <c:pt idx="0">
                  <c:v>620.6</c:v>
                </c:pt>
                <c:pt idx="1">
                  <c:v>584.79999999999995</c:v>
                </c:pt>
                <c:pt idx="2">
                  <c:v>532.6</c:v>
                </c:pt>
                <c:pt idx="3">
                  <c:v>633</c:v>
                </c:pt>
                <c:pt idx="4">
                  <c:v>581</c:v>
                </c:pt>
                <c:pt idx="5">
                  <c:v>435.75</c:v>
                </c:pt>
                <c:pt idx="6">
                  <c:v>535.33333333333337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38-4B45-80A9-7F78ADD672DF}"/>
            </c:ext>
          </c:extLst>
        </c:ser>
        <c:ser>
          <c:idx val="1"/>
          <c:order val="1"/>
          <c:tx>
            <c:strRef>
              <c:f>'Daily habits'!$C$3</c:f>
              <c:strCache>
                <c:ptCount val="1"/>
                <c:pt idx="0">
                  <c:v>Average of lunch cal Total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t="100000" r="100000"/>
              </a:path>
              <a:tileRect l="-100000" b="-100000"/>
            </a:gradFill>
            <a:ln w="12700">
              <a:solidFill>
                <a:schemeClr val="tx1"/>
              </a:solidFill>
            </a:ln>
            <a:effectLst/>
          </c:spPr>
          <c:invertIfNegative val="0"/>
          <c:cat>
            <c:strRef>
              <c:f>'Daily habits'!$A$4:$A$11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'Daily habits'!$C$4:$C$11</c:f>
              <c:numCache>
                <c:formatCode>0.0</c:formatCode>
                <c:ptCount val="7"/>
                <c:pt idx="0">
                  <c:v>1447.4</c:v>
                </c:pt>
                <c:pt idx="1">
                  <c:v>1215</c:v>
                </c:pt>
                <c:pt idx="2">
                  <c:v>811.6</c:v>
                </c:pt>
                <c:pt idx="3">
                  <c:v>1129</c:v>
                </c:pt>
                <c:pt idx="4">
                  <c:v>1130.25</c:v>
                </c:pt>
                <c:pt idx="5">
                  <c:v>1230.25</c:v>
                </c:pt>
                <c:pt idx="6">
                  <c:v>1075.3333333333333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38-4B45-80A9-7F78ADD672DF}"/>
            </c:ext>
          </c:extLst>
        </c:ser>
        <c:ser>
          <c:idx val="2"/>
          <c:order val="2"/>
          <c:tx>
            <c:strRef>
              <c:f>'Daily habits'!$D$3</c:f>
              <c:strCache>
                <c:ptCount val="1"/>
                <c:pt idx="0">
                  <c:v>Average of afternoon cal Total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75000"/>
                    <a:shade val="30000"/>
                    <a:satMod val="115000"/>
                  </a:schemeClr>
                </a:gs>
                <a:gs pos="50000">
                  <a:schemeClr val="accent1">
                    <a:lumMod val="75000"/>
                    <a:shade val="67500"/>
                    <a:satMod val="115000"/>
                  </a:schemeClr>
                </a:gs>
                <a:gs pos="100000">
                  <a:schemeClr val="accent1">
                    <a:lumMod val="75000"/>
                    <a:shade val="100000"/>
                    <a:satMod val="115000"/>
                  </a:schemeClr>
                </a:gs>
              </a:gsLst>
              <a:path path="circle">
                <a:fillToRect t="100000" r="100000"/>
              </a:path>
              <a:tileRect l="-100000" b="-100000"/>
            </a:gradFill>
            <a:ln w="12700">
              <a:solidFill>
                <a:schemeClr val="tx1"/>
              </a:solidFill>
            </a:ln>
            <a:effectLst/>
          </c:spPr>
          <c:invertIfNegative val="0"/>
          <c:cat>
            <c:strRef>
              <c:f>'Daily habits'!$A$4:$A$11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'Daily habits'!$D$4:$D$11</c:f>
              <c:numCache>
                <c:formatCode>0.0</c:formatCode>
                <c:ptCount val="7"/>
                <c:pt idx="0">
                  <c:v>865.2</c:v>
                </c:pt>
                <c:pt idx="1">
                  <c:v>807</c:v>
                </c:pt>
                <c:pt idx="2">
                  <c:v>651.20000000000005</c:v>
                </c:pt>
                <c:pt idx="3">
                  <c:v>890.2</c:v>
                </c:pt>
                <c:pt idx="4">
                  <c:v>658</c:v>
                </c:pt>
                <c:pt idx="5">
                  <c:v>578.25</c:v>
                </c:pt>
                <c:pt idx="6">
                  <c:v>784.66666666666663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38-4B45-80A9-7F78ADD672DF}"/>
            </c:ext>
          </c:extLst>
        </c:ser>
        <c:ser>
          <c:idx val="3"/>
          <c:order val="3"/>
          <c:tx>
            <c:strRef>
              <c:f>'Daily habits'!$E$3</c:f>
              <c:strCache>
                <c:ptCount val="1"/>
                <c:pt idx="0">
                  <c:v>Average of dinner cal Total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shade val="30000"/>
                    <a:satMod val="115000"/>
                  </a:schemeClr>
                </a:gs>
                <a:gs pos="50000">
                  <a:schemeClr val="accent6">
                    <a:shade val="67500"/>
                    <a:satMod val="115000"/>
                  </a:schemeClr>
                </a:gs>
                <a:gs pos="100000">
                  <a:schemeClr val="accent6">
                    <a:shade val="100000"/>
                    <a:satMod val="115000"/>
                  </a:schemeClr>
                </a:gs>
              </a:gsLst>
              <a:path path="circle">
                <a:fillToRect t="100000" r="100000"/>
              </a:path>
              <a:tileRect l="-100000" b="-100000"/>
            </a:gradFill>
            <a:ln w="12700">
              <a:solidFill>
                <a:schemeClr val="tx1"/>
              </a:solidFill>
            </a:ln>
            <a:effectLst/>
          </c:spPr>
          <c:invertIfNegative val="0"/>
          <c:cat>
            <c:strRef>
              <c:f>'Daily habits'!$A$4:$A$11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'Daily habits'!$E$4:$E$11</c:f>
              <c:numCache>
                <c:formatCode>0.0</c:formatCode>
                <c:ptCount val="7"/>
                <c:pt idx="0">
                  <c:v>1373.4</c:v>
                </c:pt>
                <c:pt idx="1">
                  <c:v>1315.2</c:v>
                </c:pt>
                <c:pt idx="2">
                  <c:v>1244.5999999999999</c:v>
                </c:pt>
                <c:pt idx="3">
                  <c:v>863</c:v>
                </c:pt>
                <c:pt idx="4">
                  <c:v>1331.75</c:v>
                </c:pt>
                <c:pt idx="5">
                  <c:v>849.25</c:v>
                </c:pt>
                <c:pt idx="6">
                  <c:v>1222.3333333333333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38-4B45-80A9-7F78ADD672DF}"/>
            </c:ext>
          </c:extLst>
        </c:ser>
        <c:ser>
          <c:idx val="4"/>
          <c:order val="4"/>
          <c:tx>
            <c:strRef>
              <c:f>'Daily habits'!$F$3</c:f>
              <c:strCache>
                <c:ptCount val="1"/>
                <c:pt idx="0">
                  <c:v>Average of exercise cal Total</c:v>
                </c:pt>
              </c:strCache>
            </c:strRef>
          </c:tx>
          <c:spPr>
            <a:gradFill flip="none" rotWithShape="1">
              <a:gsLst>
                <a:gs pos="0">
                  <a:srgbClr val="FFC000">
                    <a:shade val="30000"/>
                    <a:satMod val="115000"/>
                  </a:srgbClr>
                </a:gs>
                <a:gs pos="50000">
                  <a:srgbClr val="FFC000">
                    <a:shade val="67500"/>
                    <a:satMod val="115000"/>
                  </a:srgbClr>
                </a:gs>
                <a:gs pos="100000">
                  <a:srgbClr val="FFC000">
                    <a:shade val="100000"/>
                    <a:satMod val="115000"/>
                  </a:srgbClr>
                </a:gs>
              </a:gsLst>
              <a:path path="circle">
                <a:fillToRect t="100000" r="100000"/>
              </a:path>
              <a:tileRect l="-100000" b="-100000"/>
            </a:gradFill>
            <a:ln w="12700"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'Daily habits'!$A$4:$A$11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'Daily habits'!$F$4:$F$11</c:f>
              <c:numCache>
                <c:formatCode>0.0</c:formatCode>
                <c:ptCount val="7"/>
                <c:pt idx="0">
                  <c:v>494</c:v>
                </c:pt>
                <c:pt idx="1">
                  <c:v>586</c:v>
                </c:pt>
                <c:pt idx="2">
                  <c:v>642</c:v>
                </c:pt>
                <c:pt idx="3">
                  <c:v>550</c:v>
                </c:pt>
                <c:pt idx="4">
                  <c:v>380</c:v>
                </c:pt>
                <c:pt idx="5">
                  <c:v>452.5</c:v>
                </c:pt>
                <c:pt idx="6">
                  <c:v>286.66666666666669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38-4B45-80A9-7F78ADD67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27215295"/>
        <c:axId val="1627231519"/>
      </c:barChart>
      <c:catAx>
        <c:axId val="16272152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7231519"/>
        <c:crosses val="autoZero"/>
        <c:auto val="1"/>
        <c:lblAlgn val="ctr"/>
        <c:lblOffset val="100"/>
        <c:noMultiLvlLbl val="0"/>
      </c:catAx>
      <c:valAx>
        <c:axId val="1627231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20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7215295"/>
        <c:crosses val="autoZero"/>
        <c:crossBetween val="between"/>
      </c:valAx>
      <c:spPr>
        <a:solidFill>
          <a:schemeClr val="bg1">
            <a:lumMod val="85000"/>
          </a:schemeClr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square"/>
          <c:size val="5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triangle"/>
          <c:size val="5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Average of Ingested calories 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7"/>
              <c:pt idx="0">
                <c:v>Sunday</c:v>
              </c:pt>
              <c:pt idx="1">
                <c:v>Monday</c:v>
              </c:pt>
              <c:pt idx="2">
                <c:v>Tuesday</c:v>
              </c:pt>
              <c:pt idx="3">
                <c:v>Wednesday</c:v>
              </c:pt>
              <c:pt idx="4">
                <c:v>Thursday</c:v>
              </c:pt>
              <c:pt idx="5">
                <c:v>Friday</c:v>
              </c:pt>
              <c:pt idx="6">
                <c:v>Saturday</c:v>
              </c:pt>
            </c:strLit>
          </c:cat>
          <c:val>
            <c:numLit>
              <c:formatCode>General</c:formatCode>
              <c:ptCount val="7"/>
              <c:pt idx="0">
                <c:v>3546.6</c:v>
              </c:pt>
              <c:pt idx="1">
                <c:v>3682.6</c:v>
              </c:pt>
              <c:pt idx="2">
                <c:v>3493.6</c:v>
              </c:pt>
              <c:pt idx="3">
                <c:v>3442</c:v>
              </c:pt>
              <c:pt idx="4">
                <c:v>3701</c:v>
              </c:pt>
              <c:pt idx="5">
                <c:v>3093.5</c:v>
              </c:pt>
              <c:pt idx="6">
                <c:v>4597.5</c:v>
              </c:pt>
            </c:numLit>
          </c:val>
          <c:extLst>
            <c:ext xmlns:c16="http://schemas.microsoft.com/office/drawing/2014/chart" uri="{C3380CC4-5D6E-409C-BE32-E72D297353CC}">
              <c16:uniqueId val="{00000000-2738-4613-B839-E1DD71FD5F7E}"/>
            </c:ext>
          </c:extLst>
        </c:ser>
        <c:ser>
          <c:idx val="1"/>
          <c:order val="1"/>
          <c:tx>
            <c:v>Average of Total Expended calories (includes exercise)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7"/>
              <c:pt idx="0">
                <c:v>Sunday</c:v>
              </c:pt>
              <c:pt idx="1">
                <c:v>Monday</c:v>
              </c:pt>
              <c:pt idx="2">
                <c:v>Tuesday</c:v>
              </c:pt>
              <c:pt idx="3">
                <c:v>Wednesday</c:v>
              </c:pt>
              <c:pt idx="4">
                <c:v>Thursday</c:v>
              </c:pt>
              <c:pt idx="5">
                <c:v>Friday</c:v>
              </c:pt>
              <c:pt idx="6">
                <c:v>Saturday</c:v>
              </c:pt>
            </c:strLit>
          </c:cat>
          <c:val>
            <c:numLit>
              <c:formatCode>General</c:formatCode>
              <c:ptCount val="7"/>
              <c:pt idx="0">
                <c:v>2456</c:v>
              </c:pt>
              <c:pt idx="1">
                <c:v>2856</c:v>
              </c:pt>
              <c:pt idx="2">
                <c:v>2960</c:v>
              </c:pt>
              <c:pt idx="3">
                <c:v>2652.5</c:v>
              </c:pt>
              <c:pt idx="4">
                <c:v>2580</c:v>
              </c:pt>
              <c:pt idx="5">
                <c:v>2652.5</c:v>
              </c:pt>
              <c:pt idx="6">
                <c:v>2712.5</c:v>
              </c:pt>
            </c:numLit>
          </c:val>
          <c:extLst>
            <c:ext xmlns:c16="http://schemas.microsoft.com/office/drawing/2014/chart" uri="{C3380CC4-5D6E-409C-BE32-E72D297353CC}">
              <c16:uniqueId val="{00000001-2738-4613-B839-E1DD71FD5F7E}"/>
            </c:ext>
          </c:extLst>
        </c:ser>
        <c:ser>
          <c:idx val="2"/>
          <c:order val="2"/>
          <c:tx>
            <c:v>Average of Stored calories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7"/>
              <c:pt idx="0">
                <c:v>Sunday</c:v>
              </c:pt>
              <c:pt idx="1">
                <c:v>Monday</c:v>
              </c:pt>
              <c:pt idx="2">
                <c:v>Tuesday</c:v>
              </c:pt>
              <c:pt idx="3">
                <c:v>Wednesday</c:v>
              </c:pt>
              <c:pt idx="4">
                <c:v>Thursday</c:v>
              </c:pt>
              <c:pt idx="5">
                <c:v>Friday</c:v>
              </c:pt>
              <c:pt idx="6">
                <c:v>Saturday</c:v>
              </c:pt>
            </c:strLit>
          </c:cat>
          <c:val>
            <c:numLit>
              <c:formatCode>General</c:formatCode>
              <c:ptCount val="7"/>
              <c:pt idx="0">
                <c:v>1090.5999999999999</c:v>
              </c:pt>
              <c:pt idx="1">
                <c:v>826.6</c:v>
              </c:pt>
              <c:pt idx="2">
                <c:v>533.6</c:v>
              </c:pt>
              <c:pt idx="3">
                <c:v>789.5</c:v>
              </c:pt>
              <c:pt idx="4">
                <c:v>1121</c:v>
              </c:pt>
              <c:pt idx="5">
                <c:v>441</c:v>
              </c:pt>
              <c:pt idx="6">
                <c:v>1885</c:v>
              </c:pt>
            </c:numLit>
          </c:val>
          <c:extLst>
            <c:ext xmlns:c16="http://schemas.microsoft.com/office/drawing/2014/chart" uri="{C3380CC4-5D6E-409C-BE32-E72D297353CC}">
              <c16:uniqueId val="{00000002-2738-4613-B839-E1DD71FD5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751597503"/>
        <c:axId val="1748335519"/>
      </c:barChart>
      <c:catAx>
        <c:axId val="17515975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8335519"/>
        <c:crosses val="autoZero"/>
        <c:auto val="1"/>
        <c:lblAlgn val="ctr"/>
        <c:lblOffset val="100"/>
        <c:noMultiLvlLbl val="0"/>
      </c:catAx>
      <c:valAx>
        <c:axId val="174833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1597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QQ</a:t>
            </a:r>
            <a:r>
              <a:rPr lang="en-US" baseline="0"/>
              <a:t> plot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Normality_check!$E$4:$E$33</c:f>
              <c:numCache>
                <c:formatCode>General</c:formatCode>
                <c:ptCount val="30"/>
                <c:pt idx="0">
                  <c:v>-1.8485962885014084</c:v>
                </c:pt>
                <c:pt idx="1">
                  <c:v>-1.5179291595942785</c:v>
                </c:pt>
                <c:pt idx="2">
                  <c:v>-1.3001534333634226</c:v>
                </c:pt>
                <c:pt idx="3">
                  <c:v>-1.1309776082451586</c:v>
                </c:pt>
                <c:pt idx="4">
                  <c:v>-0.98916862734063549</c:v>
                </c:pt>
                <c:pt idx="5">
                  <c:v>-0.86489435868528253</c:v>
                </c:pt>
                <c:pt idx="6">
                  <c:v>-0.75272879425816996</c:v>
                </c:pt>
                <c:pt idx="7">
                  <c:v>-0.64932391318646576</c:v>
                </c:pt>
                <c:pt idx="8">
                  <c:v>-0.55244258464677432</c:v>
                </c:pt>
                <c:pt idx="9">
                  <c:v>-0.46049453910311622</c:v>
                </c:pt>
                <c:pt idx="10">
                  <c:v>-0.46049453910311622</c:v>
                </c:pt>
                <c:pt idx="11">
                  <c:v>-0.28689391692303928</c:v>
                </c:pt>
                <c:pt idx="12">
                  <c:v>-0.20354423153248621</c:v>
                </c:pt>
                <c:pt idx="13">
                  <c:v>-0.12158738275048304</c:v>
                </c:pt>
                <c:pt idx="14">
                  <c:v>-4.044050856564621E-2</c:v>
                </c:pt>
                <c:pt idx="15">
                  <c:v>4.044050856564621E-2</c:v>
                </c:pt>
                <c:pt idx="16">
                  <c:v>0.12158738275048291</c:v>
                </c:pt>
                <c:pt idx="17">
                  <c:v>0.20354423153248635</c:v>
                </c:pt>
                <c:pt idx="18">
                  <c:v>0.28689391692303928</c:v>
                </c:pt>
                <c:pt idx="19">
                  <c:v>0.37228936046519101</c:v>
                </c:pt>
                <c:pt idx="20">
                  <c:v>0.460494539103116</c:v>
                </c:pt>
                <c:pt idx="21">
                  <c:v>0.460494539103116</c:v>
                </c:pt>
                <c:pt idx="22">
                  <c:v>0.64932391318646576</c:v>
                </c:pt>
                <c:pt idx="23">
                  <c:v>0.75272879425816996</c:v>
                </c:pt>
                <c:pt idx="24">
                  <c:v>0.86489435868528353</c:v>
                </c:pt>
                <c:pt idx="25">
                  <c:v>0.98916862734063549</c:v>
                </c:pt>
                <c:pt idx="26">
                  <c:v>1.1309776082451586</c:v>
                </c:pt>
                <c:pt idx="27">
                  <c:v>1.3001534333634226</c:v>
                </c:pt>
                <c:pt idx="28">
                  <c:v>1.5179291595942783</c:v>
                </c:pt>
                <c:pt idx="29">
                  <c:v>1.8485962885014089</c:v>
                </c:pt>
              </c:numCache>
            </c:numRef>
          </c:xVal>
          <c:yVal>
            <c:numRef>
              <c:f>Normality_check!$F$4:$F$33</c:f>
              <c:numCache>
                <c:formatCode>General</c:formatCode>
                <c:ptCount val="30"/>
                <c:pt idx="0">
                  <c:v>-1.9598937530365894</c:v>
                </c:pt>
                <c:pt idx="1">
                  <c:v>-1.3963510144409867</c:v>
                </c:pt>
                <c:pt idx="2">
                  <c:v>-1.2629835913858787</c:v>
                </c:pt>
                <c:pt idx="3">
                  <c:v>-1.2446782588096874</c:v>
                </c:pt>
                <c:pt idx="4">
                  <c:v>-1.1675343572385957</c:v>
                </c:pt>
                <c:pt idx="5">
                  <c:v>-1.1583816909505</c:v>
                </c:pt>
                <c:pt idx="6">
                  <c:v>-1.0223992203845078</c:v>
                </c:pt>
                <c:pt idx="7">
                  <c:v>-0.99232617400933643</c:v>
                </c:pt>
                <c:pt idx="8">
                  <c:v>-0.72820637541000521</c:v>
                </c:pt>
                <c:pt idx="9">
                  <c:v>-0.35817715261985311</c:v>
                </c:pt>
                <c:pt idx="10">
                  <c:v>-0.35817715261985311</c:v>
                </c:pt>
                <c:pt idx="11">
                  <c:v>-0.34771696257631524</c:v>
                </c:pt>
                <c:pt idx="12">
                  <c:v>-0.28757086982597246</c:v>
                </c:pt>
                <c:pt idx="13">
                  <c:v>-0.19342915943413164</c:v>
                </c:pt>
                <c:pt idx="14">
                  <c:v>-0.1293604954174622</c:v>
                </c:pt>
                <c:pt idx="15">
                  <c:v>-0.11497773410759764</c:v>
                </c:pt>
                <c:pt idx="16">
                  <c:v>-3.6526308781063617E-2</c:v>
                </c:pt>
                <c:pt idx="17">
                  <c:v>4.9770259078123803E-2</c:v>
                </c:pt>
                <c:pt idx="18">
                  <c:v>0.1582947307798292</c:v>
                </c:pt>
                <c:pt idx="19">
                  <c:v>0.4655628133087541</c:v>
                </c:pt>
                <c:pt idx="20">
                  <c:v>0.5570894761897105</c:v>
                </c:pt>
                <c:pt idx="21">
                  <c:v>0.5570894761897105</c:v>
                </c:pt>
                <c:pt idx="22">
                  <c:v>0.77806099085944791</c:v>
                </c:pt>
                <c:pt idx="23">
                  <c:v>0.78590613339210136</c:v>
                </c:pt>
                <c:pt idx="24">
                  <c:v>0.99249488675197428</c:v>
                </c:pt>
                <c:pt idx="25">
                  <c:v>0.99510993426285865</c:v>
                </c:pt>
                <c:pt idx="26">
                  <c:v>1.2683823991502856</c:v>
                </c:pt>
                <c:pt idx="27">
                  <c:v>1.3572940145203574</c:v>
                </c:pt>
                <c:pt idx="28">
                  <c:v>1.3795219183628753</c:v>
                </c:pt>
                <c:pt idx="29">
                  <c:v>1.5952633380108439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3-479F-AB56-9B149EFCB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489359"/>
        <c:axId val="1985489775"/>
      </c:scatterChart>
      <c:valAx>
        <c:axId val="1985489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489775"/>
        <c:crosses val="autoZero"/>
        <c:crossBetween val="midCat"/>
      </c:valAx>
      <c:valAx>
        <c:axId val="198548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489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</a:t>
            </a:r>
            <a:r>
              <a:rPr lang="en-US" baseline="0"/>
              <a:t> time series forecast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Time_Series_Forecast_mov_avg!$C$1</c:f>
              <c:strCache>
                <c:ptCount val="1"/>
                <c:pt idx="0">
                  <c:v>Weight (kg)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Time_Series_Forecast_mov_avg!$A$2:$A$32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xVal>
          <c:yVal>
            <c:numRef>
              <c:f>Time_Series_Forecast_mov_avg!$C$2:$C$32</c:f>
              <c:numCache>
                <c:formatCode>General</c:formatCode>
                <c:ptCount val="31"/>
                <c:pt idx="0">
                  <c:v>80</c:v>
                </c:pt>
                <c:pt idx="1">
                  <c:v>80.050577237353068</c:v>
                </c:pt>
                <c:pt idx="2">
                  <c:v>80.161321681739125</c:v>
                </c:pt>
                <c:pt idx="3">
                  <c:v>80.385043851121637</c:v>
                </c:pt>
                <c:pt idx="4">
                  <c:v>80.497233359432073</c:v>
                </c:pt>
                <c:pt idx="5">
                  <c:v>80.676946763845038</c:v>
                </c:pt>
                <c:pt idx="6">
                  <c:v>80.67379389710095</c:v>
                </c:pt>
                <c:pt idx="7">
                  <c:v>80.844311440176995</c:v>
                </c:pt>
                <c:pt idx="8">
                  <c:v>81.02402484458996</c:v>
                </c:pt>
                <c:pt idx="9">
                  <c:v>81.031381533659498</c:v>
                </c:pt>
                <c:pt idx="10">
                  <c:v>81.014828983253039</c:v>
                </c:pt>
                <c:pt idx="11">
                  <c:v>81.134900658423689</c:v>
                </c:pt>
                <c:pt idx="12">
                  <c:v>81.239207999873898</c:v>
                </c:pt>
                <c:pt idx="13">
                  <c:v>81.245645102809746</c:v>
                </c:pt>
                <c:pt idx="14">
                  <c:v>81.496823486755346</c:v>
                </c:pt>
                <c:pt idx="15">
                  <c:v>81.756934993142522</c:v>
                </c:pt>
                <c:pt idx="16">
                  <c:v>81.95963805089778</c:v>
                </c:pt>
                <c:pt idx="17">
                  <c:v>81.886465268545422</c:v>
                </c:pt>
                <c:pt idx="18">
                  <c:v>81.974220059589186</c:v>
                </c:pt>
                <c:pt idx="19">
                  <c:v>81.99523917121644</c:v>
                </c:pt>
                <c:pt idx="20">
                  <c:v>82.084044917841567</c:v>
                </c:pt>
                <c:pt idx="21">
                  <c:v>82.390529839256359</c:v>
                </c:pt>
                <c:pt idx="22">
                  <c:v>82.414570448180029</c:v>
                </c:pt>
                <c:pt idx="23">
                  <c:v>82.638029878667197</c:v>
                </c:pt>
                <c:pt idx="24">
                  <c:v>82.766771937384078</c:v>
                </c:pt>
                <c:pt idx="25">
                  <c:v>82.861620678602037</c:v>
                </c:pt>
                <c:pt idx="26">
                  <c:v>83.145641424465211</c:v>
                </c:pt>
                <c:pt idx="27">
                  <c:v>83.285287147338735</c:v>
                </c:pt>
                <c:pt idx="28">
                  <c:v>83.547631934336309</c:v>
                </c:pt>
                <c:pt idx="29">
                  <c:v>83.749546775405548</c:v>
                </c:pt>
                <c:pt idx="30">
                  <c:v>83.748233080928841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54-4644-ABB4-E35A3DA34A60}"/>
            </c:ext>
          </c:extLst>
        </c:ser>
        <c:ser>
          <c:idx val="1"/>
          <c:order val="1"/>
          <c:tx>
            <c:strRef>
              <c:f>Time_Series_Forecast_mov_avg!$D$1</c:f>
              <c:strCache>
                <c:ptCount val="1"/>
                <c:pt idx="0">
                  <c:v>forecast with max-7 days moving average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Time_Series_Forecast_mov_avg!$A$9:$A$32</c:f>
              <c:numCache>
                <c:formatCode>General</c:formatCode>
                <c:ptCount val="2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</c:numCache>
            </c:numRef>
          </c:xVal>
          <c:yVal>
            <c:numRef>
              <c:f>Time_Series_Forecast_mov_avg!$D$9:$D$32</c:f>
              <c:numCache>
                <c:formatCode>General</c:formatCode>
                <c:ptCount val="24"/>
                <c:pt idx="0">
                  <c:v>80.349273827227407</c:v>
                </c:pt>
                <c:pt idx="1">
                  <c:v>80.469889747252708</c:v>
                </c:pt>
                <c:pt idx="2">
                  <c:v>80.608953691143682</c:v>
                </c:pt>
                <c:pt idx="3">
                  <c:v>80.733247955703732</c:v>
                </c:pt>
                <c:pt idx="4">
                  <c:v>80.82321726029393</c:v>
                </c:pt>
                <c:pt idx="5">
                  <c:v>80.914312588721302</c:v>
                </c:pt>
                <c:pt idx="6">
                  <c:v>80.994635622439731</c:v>
                </c:pt>
                <c:pt idx="7">
                  <c:v>81.076328651826685</c:v>
                </c:pt>
                <c:pt idx="8">
                  <c:v>81.169544658480746</c:v>
                </c:pt>
                <c:pt idx="9">
                  <c:v>81.274246108273957</c:v>
                </c:pt>
                <c:pt idx="10">
                  <c:v>81.406854182165148</c:v>
                </c:pt>
                <c:pt idx="11">
                  <c:v>81.531373651492615</c:v>
                </c:pt>
                <c:pt idx="12">
                  <c:v>81.651276423087694</c:v>
                </c:pt>
                <c:pt idx="13">
                  <c:v>81.759280876136629</c:v>
                </c:pt>
                <c:pt idx="14">
                  <c:v>81.879052278284036</c:v>
                </c:pt>
                <c:pt idx="15">
                  <c:v>82.006724614355605</c:v>
                </c:pt>
                <c:pt idx="16">
                  <c:v>82.100672536503822</c:v>
                </c:pt>
                <c:pt idx="17">
                  <c:v>82.197585654756608</c:v>
                </c:pt>
                <c:pt idx="18">
                  <c:v>82.323343750304971</c:v>
                </c:pt>
                <c:pt idx="19">
                  <c:v>82.450115267306828</c:v>
                </c:pt>
                <c:pt idx="20">
                  <c:v>82.614458446342354</c:v>
                </c:pt>
                <c:pt idx="21">
                  <c:v>82.78606447912766</c:v>
                </c:pt>
                <c:pt idx="22">
                  <c:v>82.951364778424804</c:v>
                </c:pt>
                <c:pt idx="23">
                  <c:v>83.142075682314157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54-4644-ABB4-E35A3DA34A60}"/>
            </c:ext>
          </c:extLst>
        </c:ser>
        <c:ser>
          <c:idx val="2"/>
          <c:order val="2"/>
          <c:tx>
            <c:strRef>
              <c:f>Time_Series_Forecast_mov_avg!$E$1</c:f>
              <c:strCache>
                <c:ptCount val="1"/>
                <c:pt idx="0">
                  <c:v>forecast with max-7 days weighted moving average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Time_Series_Forecast_mov_avg!$A$9:$A$32</c:f>
              <c:numCache>
                <c:formatCode>General</c:formatCode>
                <c:ptCount val="2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</c:numCache>
            </c:numRef>
          </c:xVal>
          <c:yVal>
            <c:numRef>
              <c:f>Time_Series_Forecast_mov_avg!$E$9:$E$32</c:f>
              <c:numCache>
                <c:formatCode>General</c:formatCode>
                <c:ptCount val="24"/>
                <c:pt idx="0">
                  <c:v>80.675370330472987</c:v>
                </c:pt>
                <c:pt idx="1">
                  <c:v>80.759052668638972</c:v>
                </c:pt>
                <c:pt idx="2">
                  <c:v>80.93416814238347</c:v>
                </c:pt>
                <c:pt idx="3">
                  <c:v>81.027703189124736</c:v>
                </c:pt>
                <c:pt idx="4">
                  <c:v>81.023105258456269</c:v>
                </c:pt>
                <c:pt idx="5">
                  <c:v>81.074864820838371</c:v>
                </c:pt>
                <c:pt idx="6">
                  <c:v>81.187054329148793</c:v>
                </c:pt>
                <c:pt idx="7">
                  <c:v>81.242426551341822</c:v>
                </c:pt>
                <c:pt idx="8">
                  <c:v>81.371234294782539</c:v>
                </c:pt>
                <c:pt idx="9">
                  <c:v>81.626879239948934</c:v>
                </c:pt>
                <c:pt idx="10">
                  <c:v>81.858286522020151</c:v>
                </c:pt>
                <c:pt idx="11">
                  <c:v>81.923051659721608</c:v>
                </c:pt>
                <c:pt idx="12">
                  <c:v>81.930342664067297</c:v>
                </c:pt>
                <c:pt idx="13">
                  <c:v>81.984729615402813</c:v>
                </c:pt>
                <c:pt idx="14">
                  <c:v>82.039642044529003</c:v>
                </c:pt>
                <c:pt idx="15">
                  <c:v>82.237287378548956</c:v>
                </c:pt>
                <c:pt idx="16">
                  <c:v>82.402550143718202</c:v>
                </c:pt>
                <c:pt idx="17">
                  <c:v>82.526300163423613</c:v>
                </c:pt>
                <c:pt idx="18">
                  <c:v>82.702400908025638</c:v>
                </c:pt>
                <c:pt idx="19">
                  <c:v>82.814196307993058</c:v>
                </c:pt>
                <c:pt idx="20">
                  <c:v>83.003631051533631</c:v>
                </c:pt>
                <c:pt idx="21">
                  <c:v>83.215464285901973</c:v>
                </c:pt>
                <c:pt idx="22">
                  <c:v>83.416459540837522</c:v>
                </c:pt>
                <c:pt idx="23">
                  <c:v>83.648589354870921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54-4644-ABB4-E35A3DA34A60}"/>
            </c:ext>
          </c:extLst>
        </c:ser>
        <c:ser>
          <c:idx val="3"/>
          <c:order val="3"/>
          <c:tx>
            <c:strRef>
              <c:f>Time_Series_Forecast_mov_avg!$F$1</c:f>
              <c:strCache>
                <c:ptCount val="1"/>
                <c:pt idx="0">
                  <c:v>forecast with Exponential Smoothing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Time_Series_Forecast_mov_avg!$A$2:$A$32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xVal>
          <c:yVal>
            <c:numRef>
              <c:f>Time_Series_Forecast_mov_avg!$F$2:$F$32</c:f>
              <c:numCache>
                <c:formatCode>General</c:formatCode>
                <c:ptCount val="31"/>
                <c:pt idx="0">
                  <c:v>80</c:v>
                </c:pt>
                <c:pt idx="1">
                  <c:v>80</c:v>
                </c:pt>
                <c:pt idx="2">
                  <c:v>80.025288618676541</c:v>
                </c:pt>
                <c:pt idx="3">
                  <c:v>80.09330515020784</c:v>
                </c:pt>
                <c:pt idx="4">
                  <c:v>80.239174500664745</c:v>
                </c:pt>
                <c:pt idx="5">
                  <c:v>80.368203930048409</c:v>
                </c:pt>
                <c:pt idx="6">
                  <c:v>80.522575346946724</c:v>
                </c:pt>
                <c:pt idx="7">
                  <c:v>80.598184622023837</c:v>
                </c:pt>
                <c:pt idx="8">
                  <c:v>80.721248031100416</c:v>
                </c:pt>
                <c:pt idx="9">
                  <c:v>80.872636437845188</c:v>
                </c:pt>
                <c:pt idx="10">
                  <c:v>80.952008985752343</c:v>
                </c:pt>
                <c:pt idx="11">
                  <c:v>80.983418984502691</c:v>
                </c:pt>
                <c:pt idx="12">
                  <c:v>81.059159821463197</c:v>
                </c:pt>
                <c:pt idx="13">
                  <c:v>81.14918391066854</c:v>
                </c:pt>
                <c:pt idx="14">
                  <c:v>81.197414506739136</c:v>
                </c:pt>
                <c:pt idx="15">
                  <c:v>81.347118996747241</c:v>
                </c:pt>
                <c:pt idx="16">
                  <c:v>81.552026994944882</c:v>
                </c:pt>
                <c:pt idx="17">
                  <c:v>81.755832522921338</c:v>
                </c:pt>
                <c:pt idx="18">
                  <c:v>81.821148895733387</c:v>
                </c:pt>
                <c:pt idx="19">
                  <c:v>81.897684477661286</c:v>
                </c:pt>
                <c:pt idx="20">
                  <c:v>81.94646182443887</c:v>
                </c:pt>
                <c:pt idx="21">
                  <c:v>82.015253371140219</c:v>
                </c:pt>
                <c:pt idx="22">
                  <c:v>82.202891605198289</c:v>
                </c:pt>
                <c:pt idx="23">
                  <c:v>82.308731026689159</c:v>
                </c:pt>
                <c:pt idx="24">
                  <c:v>82.473380452678185</c:v>
                </c:pt>
                <c:pt idx="25">
                  <c:v>82.620076195031132</c:v>
                </c:pt>
                <c:pt idx="26">
                  <c:v>82.740848436816577</c:v>
                </c:pt>
                <c:pt idx="27">
                  <c:v>82.943244930640901</c:v>
                </c:pt>
                <c:pt idx="28">
                  <c:v>83.114266038989825</c:v>
                </c:pt>
                <c:pt idx="29">
                  <c:v>83.33094898666306</c:v>
                </c:pt>
                <c:pt idx="30">
                  <c:v>83.540247881034304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54-4644-ABB4-E35A3DA34A60}"/>
            </c:ext>
          </c:extLst>
        </c:ser>
        <c:ser>
          <c:idx val="4"/>
          <c:order val="4"/>
          <c:tx>
            <c:v>AV Forecast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38100">
                <a:solidFill>
                  <a:srgbClr val="00B050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00B050"/>
                </a:solidFill>
                <a:ln w="114300">
                  <a:solidFill>
                    <a:srgbClr val="00B050"/>
                  </a:solidFill>
                </a:ln>
                <a:effectLst/>
              </c:spPr>
            </c:marker>
            <c:bubble3D val="0"/>
            <c:spPr>
              <a:ln w="3810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D054-4644-ABB4-E35A3DA34A60}"/>
              </c:ext>
            </c:extLst>
          </c:dPt>
          <c:xVal>
            <c:numRef>
              <c:f>Time_Series_Forecast_mov_avg!$A$33</c:f>
              <c:numCache>
                <c:formatCode>General</c:formatCode>
                <c:ptCount val="1"/>
                <c:pt idx="0">
                  <c:v>32</c:v>
                </c:pt>
              </c:numCache>
            </c:numRef>
          </c:xVal>
          <c:yVal>
            <c:numRef>
              <c:f>Time_Series_Forecast_mov_avg!$D$33</c:f>
              <c:numCache>
                <c:formatCode>General</c:formatCode>
                <c:ptCount val="1"/>
                <c:pt idx="0">
                  <c:v>83.300676139780109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54-4644-ABB4-E35A3DA34A60}"/>
            </c:ext>
          </c:extLst>
        </c:ser>
        <c:ser>
          <c:idx val="5"/>
          <c:order val="5"/>
          <c:tx>
            <c:v>WMA Forecast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114300">
                <a:solidFill>
                  <a:srgbClr val="0070C0"/>
                </a:solidFill>
              </a:ln>
              <a:effectLst/>
            </c:spPr>
          </c:marker>
          <c:xVal>
            <c:numRef>
              <c:f>Time_Series_Forecast_mov_avg!$A$33</c:f>
              <c:numCache>
                <c:formatCode>General</c:formatCode>
                <c:ptCount val="1"/>
                <c:pt idx="0">
                  <c:v>32</c:v>
                </c:pt>
              </c:numCache>
            </c:numRef>
          </c:xVal>
          <c:yVal>
            <c:numRef>
              <c:f>Time_Series_Forecast_mov_avg!$E$33</c:f>
              <c:numCache>
                <c:formatCode>General</c:formatCode>
                <c:ptCount val="1"/>
                <c:pt idx="0">
                  <c:v>83.748889928167188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054-4644-ABB4-E35A3DA34A60}"/>
            </c:ext>
          </c:extLst>
        </c:ser>
        <c:ser>
          <c:idx val="6"/>
          <c:order val="6"/>
          <c:tx>
            <c:v>ES Forecast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FF"/>
              </a:solidFill>
              <a:ln w="114300">
                <a:solidFill>
                  <a:srgbClr val="FF00FF"/>
                </a:solidFill>
              </a:ln>
              <a:effectLst/>
            </c:spPr>
          </c:marker>
          <c:xVal>
            <c:numRef>
              <c:f>Time_Series_Forecast_mov_avg!$A$33</c:f>
              <c:numCache>
                <c:formatCode>General</c:formatCode>
                <c:ptCount val="1"/>
                <c:pt idx="0">
                  <c:v>32</c:v>
                </c:pt>
              </c:numCache>
            </c:numRef>
          </c:xVal>
          <c:yVal>
            <c:numRef>
              <c:f>Time_Series_Forecast_mov_avg!$F$33</c:f>
              <c:numCache>
                <c:formatCode>General</c:formatCode>
                <c:ptCount val="1"/>
                <c:pt idx="0">
                  <c:v>83.64424048098158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054-4644-ABB4-E35A3DA34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24783"/>
        <c:axId val="207125615"/>
      </c:scatterChart>
      <c:valAx>
        <c:axId val="207124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25615"/>
        <c:crosses val="autoZero"/>
        <c:crossBetween val="midCat"/>
      </c:valAx>
      <c:valAx>
        <c:axId val="2071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  <a:r>
                  <a:rPr lang="en-US" baseline="0"/>
                  <a:t>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2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</a:t>
            </a:r>
            <a:r>
              <a:rPr lang="en-US" baseline="0"/>
              <a:t> time series forecast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Time_Series_Forecast_mov_avg!$C$1</c:f>
              <c:strCache>
                <c:ptCount val="1"/>
                <c:pt idx="0">
                  <c:v>Weight (kg)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Time_Series_Forecast_mov_avg!$A$2:$A$32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xVal>
          <c:yVal>
            <c:numRef>
              <c:f>Time_Series_Forecast_mov_avg!$C$2:$C$32</c:f>
              <c:numCache>
                <c:formatCode>General</c:formatCode>
                <c:ptCount val="31"/>
                <c:pt idx="0">
                  <c:v>80</c:v>
                </c:pt>
                <c:pt idx="1">
                  <c:v>80.050577237353068</c:v>
                </c:pt>
                <c:pt idx="2">
                  <c:v>80.161321681739125</c:v>
                </c:pt>
                <c:pt idx="3">
                  <c:v>80.385043851121637</c:v>
                </c:pt>
                <c:pt idx="4">
                  <c:v>80.497233359432073</c:v>
                </c:pt>
                <c:pt idx="5">
                  <c:v>80.676946763845038</c:v>
                </c:pt>
                <c:pt idx="6">
                  <c:v>80.67379389710095</c:v>
                </c:pt>
                <c:pt idx="7">
                  <c:v>80.844311440176995</c:v>
                </c:pt>
                <c:pt idx="8">
                  <c:v>81.02402484458996</c:v>
                </c:pt>
                <c:pt idx="9">
                  <c:v>81.031381533659498</c:v>
                </c:pt>
                <c:pt idx="10">
                  <c:v>81.014828983253039</c:v>
                </c:pt>
                <c:pt idx="11">
                  <c:v>81.134900658423689</c:v>
                </c:pt>
                <c:pt idx="12">
                  <c:v>81.239207999873898</c:v>
                </c:pt>
                <c:pt idx="13">
                  <c:v>81.245645102809746</c:v>
                </c:pt>
                <c:pt idx="14">
                  <c:v>81.496823486755346</c:v>
                </c:pt>
                <c:pt idx="15">
                  <c:v>81.756934993142522</c:v>
                </c:pt>
                <c:pt idx="16">
                  <c:v>81.95963805089778</c:v>
                </c:pt>
                <c:pt idx="17">
                  <c:v>81.886465268545422</c:v>
                </c:pt>
                <c:pt idx="18">
                  <c:v>81.974220059589186</c:v>
                </c:pt>
                <c:pt idx="19">
                  <c:v>81.99523917121644</c:v>
                </c:pt>
                <c:pt idx="20">
                  <c:v>82.084044917841567</c:v>
                </c:pt>
                <c:pt idx="21">
                  <c:v>82.390529839256359</c:v>
                </c:pt>
                <c:pt idx="22">
                  <c:v>82.414570448180029</c:v>
                </c:pt>
                <c:pt idx="23">
                  <c:v>82.638029878667197</c:v>
                </c:pt>
                <c:pt idx="24">
                  <c:v>82.766771937384078</c:v>
                </c:pt>
                <c:pt idx="25">
                  <c:v>82.861620678602037</c:v>
                </c:pt>
                <c:pt idx="26">
                  <c:v>83.145641424465211</c:v>
                </c:pt>
                <c:pt idx="27">
                  <c:v>83.285287147338735</c:v>
                </c:pt>
                <c:pt idx="28">
                  <c:v>83.547631934336309</c:v>
                </c:pt>
                <c:pt idx="29">
                  <c:v>83.749546775405548</c:v>
                </c:pt>
                <c:pt idx="30">
                  <c:v>83.748233080928841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BF-40D9-960E-77B2A3E24E07}"/>
            </c:ext>
          </c:extLst>
        </c:ser>
        <c:ser>
          <c:idx val="1"/>
          <c:order val="1"/>
          <c:tx>
            <c:strRef>
              <c:f>Time_Series_Forecast_mov_avg!$D$1</c:f>
              <c:strCache>
                <c:ptCount val="1"/>
                <c:pt idx="0">
                  <c:v>forecast with max-7 days moving average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Time_Series_Forecast_mov_avg!$A$9:$A$32</c:f>
              <c:numCache>
                <c:formatCode>General</c:formatCode>
                <c:ptCount val="2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</c:numCache>
            </c:numRef>
          </c:xVal>
          <c:yVal>
            <c:numRef>
              <c:f>Time_Series_Forecast_mov_avg!$D$9:$D$32</c:f>
              <c:numCache>
                <c:formatCode>General</c:formatCode>
                <c:ptCount val="24"/>
                <c:pt idx="0">
                  <c:v>80.349273827227407</c:v>
                </c:pt>
                <c:pt idx="1">
                  <c:v>80.469889747252708</c:v>
                </c:pt>
                <c:pt idx="2">
                  <c:v>80.608953691143682</c:v>
                </c:pt>
                <c:pt idx="3">
                  <c:v>80.733247955703732</c:v>
                </c:pt>
                <c:pt idx="4">
                  <c:v>80.82321726029393</c:v>
                </c:pt>
                <c:pt idx="5">
                  <c:v>80.914312588721302</c:v>
                </c:pt>
                <c:pt idx="6">
                  <c:v>80.994635622439731</c:v>
                </c:pt>
                <c:pt idx="7">
                  <c:v>81.076328651826685</c:v>
                </c:pt>
                <c:pt idx="8">
                  <c:v>81.169544658480746</c:v>
                </c:pt>
                <c:pt idx="9">
                  <c:v>81.274246108273957</c:v>
                </c:pt>
                <c:pt idx="10">
                  <c:v>81.406854182165148</c:v>
                </c:pt>
                <c:pt idx="11">
                  <c:v>81.531373651492615</c:v>
                </c:pt>
                <c:pt idx="12">
                  <c:v>81.651276423087694</c:v>
                </c:pt>
                <c:pt idx="13">
                  <c:v>81.759280876136629</c:v>
                </c:pt>
                <c:pt idx="14">
                  <c:v>81.879052278284036</c:v>
                </c:pt>
                <c:pt idx="15">
                  <c:v>82.006724614355605</c:v>
                </c:pt>
                <c:pt idx="16">
                  <c:v>82.100672536503822</c:v>
                </c:pt>
                <c:pt idx="17">
                  <c:v>82.197585654756608</c:v>
                </c:pt>
                <c:pt idx="18">
                  <c:v>82.323343750304971</c:v>
                </c:pt>
                <c:pt idx="19">
                  <c:v>82.450115267306828</c:v>
                </c:pt>
                <c:pt idx="20">
                  <c:v>82.614458446342354</c:v>
                </c:pt>
                <c:pt idx="21">
                  <c:v>82.78606447912766</c:v>
                </c:pt>
                <c:pt idx="22">
                  <c:v>82.951364778424804</c:v>
                </c:pt>
                <c:pt idx="23">
                  <c:v>83.142075682314157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BF-40D9-960E-77B2A3E24E07}"/>
            </c:ext>
          </c:extLst>
        </c:ser>
        <c:ser>
          <c:idx val="2"/>
          <c:order val="2"/>
          <c:tx>
            <c:strRef>
              <c:f>Time_Series_Forecast_mov_avg!$E$1</c:f>
              <c:strCache>
                <c:ptCount val="1"/>
                <c:pt idx="0">
                  <c:v>forecast with max-7 days weighted moving average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Time_Series_Forecast_mov_avg!$A$9:$A$32</c:f>
              <c:numCache>
                <c:formatCode>General</c:formatCode>
                <c:ptCount val="24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</c:numCache>
            </c:numRef>
          </c:xVal>
          <c:yVal>
            <c:numRef>
              <c:f>Time_Series_Forecast_mov_avg!$E$9:$E$32</c:f>
              <c:numCache>
                <c:formatCode>General</c:formatCode>
                <c:ptCount val="24"/>
                <c:pt idx="0">
                  <c:v>80.675370330472987</c:v>
                </c:pt>
                <c:pt idx="1">
                  <c:v>80.759052668638972</c:v>
                </c:pt>
                <c:pt idx="2">
                  <c:v>80.93416814238347</c:v>
                </c:pt>
                <c:pt idx="3">
                  <c:v>81.027703189124736</c:v>
                </c:pt>
                <c:pt idx="4">
                  <c:v>81.023105258456269</c:v>
                </c:pt>
                <c:pt idx="5">
                  <c:v>81.074864820838371</c:v>
                </c:pt>
                <c:pt idx="6">
                  <c:v>81.187054329148793</c:v>
                </c:pt>
                <c:pt idx="7">
                  <c:v>81.242426551341822</c:v>
                </c:pt>
                <c:pt idx="8">
                  <c:v>81.371234294782539</c:v>
                </c:pt>
                <c:pt idx="9">
                  <c:v>81.626879239948934</c:v>
                </c:pt>
                <c:pt idx="10">
                  <c:v>81.858286522020151</c:v>
                </c:pt>
                <c:pt idx="11">
                  <c:v>81.923051659721608</c:v>
                </c:pt>
                <c:pt idx="12">
                  <c:v>81.930342664067297</c:v>
                </c:pt>
                <c:pt idx="13">
                  <c:v>81.984729615402813</c:v>
                </c:pt>
                <c:pt idx="14">
                  <c:v>82.039642044529003</c:v>
                </c:pt>
                <c:pt idx="15">
                  <c:v>82.237287378548956</c:v>
                </c:pt>
                <c:pt idx="16">
                  <c:v>82.402550143718202</c:v>
                </c:pt>
                <c:pt idx="17">
                  <c:v>82.526300163423613</c:v>
                </c:pt>
                <c:pt idx="18">
                  <c:v>82.702400908025638</c:v>
                </c:pt>
                <c:pt idx="19">
                  <c:v>82.814196307993058</c:v>
                </c:pt>
                <c:pt idx="20">
                  <c:v>83.003631051533631</c:v>
                </c:pt>
                <c:pt idx="21">
                  <c:v>83.215464285901973</c:v>
                </c:pt>
                <c:pt idx="22">
                  <c:v>83.416459540837522</c:v>
                </c:pt>
                <c:pt idx="23">
                  <c:v>83.648589354870921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BF-40D9-960E-77B2A3E24E07}"/>
            </c:ext>
          </c:extLst>
        </c:ser>
        <c:ser>
          <c:idx val="3"/>
          <c:order val="3"/>
          <c:tx>
            <c:strRef>
              <c:f>Time_Series_Forecast_mov_avg!$F$1</c:f>
              <c:strCache>
                <c:ptCount val="1"/>
                <c:pt idx="0">
                  <c:v>forecast with Exponential Smoothing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Time_Series_Forecast_mov_avg!$A$2:$A$32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xVal>
          <c:yVal>
            <c:numRef>
              <c:f>Time_Series_Forecast_mov_avg!$F$2:$F$32</c:f>
              <c:numCache>
                <c:formatCode>General</c:formatCode>
                <c:ptCount val="31"/>
                <c:pt idx="0">
                  <c:v>80</c:v>
                </c:pt>
                <c:pt idx="1">
                  <c:v>80</c:v>
                </c:pt>
                <c:pt idx="2">
                  <c:v>80.025288618676541</c:v>
                </c:pt>
                <c:pt idx="3">
                  <c:v>80.09330515020784</c:v>
                </c:pt>
                <c:pt idx="4">
                  <c:v>80.239174500664745</c:v>
                </c:pt>
                <c:pt idx="5">
                  <c:v>80.368203930048409</c:v>
                </c:pt>
                <c:pt idx="6">
                  <c:v>80.522575346946724</c:v>
                </c:pt>
                <c:pt idx="7">
                  <c:v>80.598184622023837</c:v>
                </c:pt>
                <c:pt idx="8">
                  <c:v>80.721248031100416</c:v>
                </c:pt>
                <c:pt idx="9">
                  <c:v>80.872636437845188</c:v>
                </c:pt>
                <c:pt idx="10">
                  <c:v>80.952008985752343</c:v>
                </c:pt>
                <c:pt idx="11">
                  <c:v>80.983418984502691</c:v>
                </c:pt>
                <c:pt idx="12">
                  <c:v>81.059159821463197</c:v>
                </c:pt>
                <c:pt idx="13">
                  <c:v>81.14918391066854</c:v>
                </c:pt>
                <c:pt idx="14">
                  <c:v>81.197414506739136</c:v>
                </c:pt>
                <c:pt idx="15">
                  <c:v>81.347118996747241</c:v>
                </c:pt>
                <c:pt idx="16">
                  <c:v>81.552026994944882</c:v>
                </c:pt>
                <c:pt idx="17">
                  <c:v>81.755832522921338</c:v>
                </c:pt>
                <c:pt idx="18">
                  <c:v>81.821148895733387</c:v>
                </c:pt>
                <c:pt idx="19">
                  <c:v>81.897684477661286</c:v>
                </c:pt>
                <c:pt idx="20">
                  <c:v>81.94646182443887</c:v>
                </c:pt>
                <c:pt idx="21">
                  <c:v>82.015253371140219</c:v>
                </c:pt>
                <c:pt idx="22">
                  <c:v>82.202891605198289</c:v>
                </c:pt>
                <c:pt idx="23">
                  <c:v>82.308731026689159</c:v>
                </c:pt>
                <c:pt idx="24">
                  <c:v>82.473380452678185</c:v>
                </c:pt>
                <c:pt idx="25">
                  <c:v>82.620076195031132</c:v>
                </c:pt>
                <c:pt idx="26">
                  <c:v>82.740848436816577</c:v>
                </c:pt>
                <c:pt idx="27">
                  <c:v>82.943244930640901</c:v>
                </c:pt>
                <c:pt idx="28">
                  <c:v>83.114266038989825</c:v>
                </c:pt>
                <c:pt idx="29">
                  <c:v>83.33094898666306</c:v>
                </c:pt>
                <c:pt idx="30">
                  <c:v>83.540247881034304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BF-40D9-960E-77B2A3E24E07}"/>
            </c:ext>
          </c:extLst>
        </c:ser>
        <c:ser>
          <c:idx val="4"/>
          <c:order val="4"/>
          <c:tx>
            <c:v>AV Forecast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38100">
                <a:solidFill>
                  <a:srgbClr val="00B050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00B050"/>
                </a:solidFill>
                <a:ln w="114300">
                  <a:solidFill>
                    <a:srgbClr val="00B050"/>
                  </a:solidFill>
                </a:ln>
                <a:effectLst/>
              </c:spPr>
            </c:marker>
            <c:bubble3D val="0"/>
            <c:spPr>
              <a:ln w="3810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82BF-40D9-960E-77B2A3E24E07}"/>
              </c:ext>
            </c:extLst>
          </c:dPt>
          <c:xVal>
            <c:numRef>
              <c:f>Time_Series_Forecast_mov_avg!$A$33</c:f>
              <c:numCache>
                <c:formatCode>General</c:formatCode>
                <c:ptCount val="1"/>
                <c:pt idx="0">
                  <c:v>32</c:v>
                </c:pt>
              </c:numCache>
            </c:numRef>
          </c:xVal>
          <c:yVal>
            <c:numRef>
              <c:f>Time_Series_Forecast_mov_avg!$D$33</c:f>
              <c:numCache>
                <c:formatCode>General</c:formatCode>
                <c:ptCount val="1"/>
                <c:pt idx="0">
                  <c:v>83.300676139780109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2BF-40D9-960E-77B2A3E24E07}"/>
            </c:ext>
          </c:extLst>
        </c:ser>
        <c:ser>
          <c:idx val="5"/>
          <c:order val="5"/>
          <c:tx>
            <c:v>WMA Forecast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114300">
                <a:solidFill>
                  <a:srgbClr val="0070C0"/>
                </a:solidFill>
              </a:ln>
              <a:effectLst/>
            </c:spPr>
          </c:marker>
          <c:xVal>
            <c:numRef>
              <c:f>Time_Series_Forecast_mov_avg!$A$33</c:f>
              <c:numCache>
                <c:formatCode>General</c:formatCode>
                <c:ptCount val="1"/>
                <c:pt idx="0">
                  <c:v>32</c:v>
                </c:pt>
              </c:numCache>
            </c:numRef>
          </c:xVal>
          <c:yVal>
            <c:numRef>
              <c:f>Time_Series_Forecast_mov_avg!$E$33</c:f>
              <c:numCache>
                <c:formatCode>General</c:formatCode>
                <c:ptCount val="1"/>
                <c:pt idx="0">
                  <c:v>83.748889928167188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2BF-40D9-960E-77B2A3E24E07}"/>
            </c:ext>
          </c:extLst>
        </c:ser>
        <c:ser>
          <c:idx val="6"/>
          <c:order val="6"/>
          <c:tx>
            <c:v>ES Forecast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FF"/>
              </a:solidFill>
              <a:ln w="114300">
                <a:solidFill>
                  <a:srgbClr val="FF00FF"/>
                </a:solidFill>
              </a:ln>
              <a:effectLst/>
            </c:spPr>
          </c:marker>
          <c:xVal>
            <c:numRef>
              <c:f>Time_Series_Forecast_mov_avg!$A$33</c:f>
              <c:numCache>
                <c:formatCode>General</c:formatCode>
                <c:ptCount val="1"/>
                <c:pt idx="0">
                  <c:v>32</c:v>
                </c:pt>
              </c:numCache>
            </c:numRef>
          </c:xVal>
          <c:yVal>
            <c:numRef>
              <c:f>Time_Series_Forecast_mov_avg!$F$33</c:f>
              <c:numCache>
                <c:formatCode>General</c:formatCode>
                <c:ptCount val="1"/>
                <c:pt idx="0">
                  <c:v>83.64424048098158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2BF-40D9-960E-77B2A3E24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24783"/>
        <c:axId val="207125615"/>
      </c:scatterChart>
      <c:valAx>
        <c:axId val="207124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25615"/>
        <c:crosses val="autoZero"/>
        <c:crossBetween val="midCat"/>
      </c:valAx>
      <c:valAx>
        <c:axId val="2071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  <a:r>
                  <a:rPr lang="en-US" baseline="0"/>
                  <a:t>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2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</a:t>
            </a:r>
            <a:r>
              <a:rPr lang="en-US" baseline="0"/>
              <a:t> time series forecast - autoregression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Time_Series_Forecast_AutoRegres!$C$1</c:f>
              <c:strCache>
                <c:ptCount val="1"/>
                <c:pt idx="0">
                  <c:v>Weight (kg)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Time_Series_Forecast_AutoRegres!$A$2:$A$32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xVal>
          <c:yVal>
            <c:numRef>
              <c:f>Time_Series_Forecast_AutoRegres!$C$2:$C$32</c:f>
              <c:numCache>
                <c:formatCode>General</c:formatCode>
                <c:ptCount val="31"/>
                <c:pt idx="0">
                  <c:v>80</c:v>
                </c:pt>
                <c:pt idx="1">
                  <c:v>80.050577237353068</c:v>
                </c:pt>
                <c:pt idx="2">
                  <c:v>80.161321681739125</c:v>
                </c:pt>
                <c:pt idx="3">
                  <c:v>80.385043851121637</c:v>
                </c:pt>
                <c:pt idx="4">
                  <c:v>80.497233359432073</c:v>
                </c:pt>
                <c:pt idx="5">
                  <c:v>80.676946763845038</c:v>
                </c:pt>
                <c:pt idx="6">
                  <c:v>80.67379389710095</c:v>
                </c:pt>
                <c:pt idx="7">
                  <c:v>80.844311440176995</c:v>
                </c:pt>
                <c:pt idx="8">
                  <c:v>81.02402484458996</c:v>
                </c:pt>
                <c:pt idx="9">
                  <c:v>81.031381533659498</c:v>
                </c:pt>
                <c:pt idx="10">
                  <c:v>81.014828983253039</c:v>
                </c:pt>
                <c:pt idx="11">
                  <c:v>81.134900658423689</c:v>
                </c:pt>
                <c:pt idx="12">
                  <c:v>81.239207999873898</c:v>
                </c:pt>
                <c:pt idx="13">
                  <c:v>81.245645102809746</c:v>
                </c:pt>
                <c:pt idx="14">
                  <c:v>81.496823486755346</c:v>
                </c:pt>
                <c:pt idx="15">
                  <c:v>81.756934993142522</c:v>
                </c:pt>
                <c:pt idx="16">
                  <c:v>81.95963805089778</c:v>
                </c:pt>
                <c:pt idx="17">
                  <c:v>81.886465268545422</c:v>
                </c:pt>
                <c:pt idx="18">
                  <c:v>81.974220059589186</c:v>
                </c:pt>
                <c:pt idx="19">
                  <c:v>81.99523917121644</c:v>
                </c:pt>
                <c:pt idx="20">
                  <c:v>82.084044917841567</c:v>
                </c:pt>
                <c:pt idx="21">
                  <c:v>82.390529839256359</c:v>
                </c:pt>
                <c:pt idx="22">
                  <c:v>82.414570448180029</c:v>
                </c:pt>
                <c:pt idx="23">
                  <c:v>82.638029878667197</c:v>
                </c:pt>
                <c:pt idx="24">
                  <c:v>82.766771937384078</c:v>
                </c:pt>
                <c:pt idx="25">
                  <c:v>82.861620678602037</c:v>
                </c:pt>
                <c:pt idx="26">
                  <c:v>83.145641424465211</c:v>
                </c:pt>
                <c:pt idx="27">
                  <c:v>83.285287147338735</c:v>
                </c:pt>
                <c:pt idx="28">
                  <c:v>83.547631934336309</c:v>
                </c:pt>
                <c:pt idx="29">
                  <c:v>83.749546775405548</c:v>
                </c:pt>
                <c:pt idx="30">
                  <c:v>83.748233080928841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D1-4F4C-8C4E-B0EA939B3C64}"/>
            </c:ext>
          </c:extLst>
        </c:ser>
        <c:ser>
          <c:idx val="1"/>
          <c:order val="1"/>
          <c:tx>
            <c:strRef>
              <c:f>Time_Series_Forecast_AutoRegres!$G$1</c:f>
              <c:strCache>
                <c:ptCount val="1"/>
                <c:pt idx="0">
                  <c:v>Forecast with auto regression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Time_Series_Forecast_AutoRegres!$A$5:$A$32</c:f>
              <c:numCache>
                <c:formatCode>General</c:formatCode>
                <c:ptCount val="28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</c:numCache>
            </c:numRef>
          </c:xVal>
          <c:yVal>
            <c:numRef>
              <c:f>Time_Series_Forecast_AutoRegres!$G$5:$G$32</c:f>
              <c:numCache>
                <c:formatCode>General</c:formatCode>
                <c:ptCount val="28"/>
                <c:pt idx="0">
                  <c:v>80.275365487969282</c:v>
                </c:pt>
                <c:pt idx="1">
                  <c:v>80.478462590479594</c:v>
                </c:pt>
                <c:pt idx="2">
                  <c:v>80.591704502687548</c:v>
                </c:pt>
                <c:pt idx="3">
                  <c:v>80.781356529944134</c:v>
                </c:pt>
                <c:pt idx="4">
                  <c:v>80.793814838978889</c:v>
                </c:pt>
                <c:pt idx="5">
                  <c:v>80.969695722922978</c:v>
                </c:pt>
                <c:pt idx="6">
                  <c:v>81.125968602683429</c:v>
                </c:pt>
                <c:pt idx="7">
                  <c:v>81.156143240344804</c:v>
                </c:pt>
                <c:pt idx="8">
                  <c:v>81.167722895618553</c:v>
                </c:pt>
                <c:pt idx="9">
                  <c:v>81.274311210131017</c:v>
                </c:pt>
                <c:pt idx="10">
                  <c:v>81.362741131933745</c:v>
                </c:pt>
                <c:pt idx="11">
                  <c:v>81.385228776627017</c:v>
                </c:pt>
                <c:pt idx="12">
                  <c:v>81.620891161239385</c:v>
                </c:pt>
                <c:pt idx="13">
                  <c:v>81.848649837444924</c:v>
                </c:pt>
                <c:pt idx="14">
                  <c:v>82.06157407127219</c:v>
                </c:pt>
                <c:pt idx="15">
                  <c:v>82.03394767268621</c:v>
                </c:pt>
                <c:pt idx="16">
                  <c:v>82.140943353738621</c:v>
                </c:pt>
                <c:pt idx="17">
                  <c:v>82.14820832168428</c:v>
                </c:pt>
                <c:pt idx="18">
                  <c:v>82.238818236778286</c:v>
                </c:pt>
                <c:pt idx="19">
                  <c:v>82.510408731690504</c:v>
                </c:pt>
                <c:pt idx="20">
                  <c:v>82.542560060071224</c:v>
                </c:pt>
                <c:pt idx="21">
                  <c:v>82.783205394427455</c:v>
                </c:pt>
                <c:pt idx="22">
                  <c:v>82.89836150862314</c:v>
                </c:pt>
                <c:pt idx="23">
                  <c:v>83.013367458365892</c:v>
                </c:pt>
                <c:pt idx="24">
                  <c:v>83.28087751588734</c:v>
                </c:pt>
                <c:pt idx="25">
                  <c:v>83.415540841063091</c:v>
                </c:pt>
                <c:pt idx="26">
                  <c:v>83.686346347950192</c:v>
                </c:pt>
                <c:pt idx="27">
                  <c:v>83.882331483595777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D1-4F4C-8C4E-B0EA939B3C64}"/>
            </c:ext>
          </c:extLst>
        </c:ser>
        <c:ser>
          <c:idx val="2"/>
          <c:order val="2"/>
          <c:tx>
            <c:v>forecast by auto regression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38100">
                <a:solidFill>
                  <a:srgbClr val="00B050"/>
                </a:solidFill>
              </a:ln>
              <a:effectLst/>
            </c:spPr>
          </c:marker>
          <c:xVal>
            <c:numRef>
              <c:f>Time_Series_Forecast_AutoRegres!$A$33</c:f>
              <c:numCache>
                <c:formatCode>General</c:formatCode>
                <c:ptCount val="1"/>
                <c:pt idx="0">
                  <c:v>32</c:v>
                </c:pt>
              </c:numCache>
            </c:numRef>
          </c:xVal>
          <c:yVal>
            <c:numRef>
              <c:f>Time_Series_Forecast_AutoRegres!$G$33</c:f>
              <c:numCache>
                <c:formatCode>General</c:formatCode>
                <c:ptCount val="1"/>
                <c:pt idx="0">
                  <c:v>83.918123103568291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D1-4F4C-8C4E-B0EA939B3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936543"/>
        <c:axId val="603935711"/>
      </c:scatterChart>
      <c:valAx>
        <c:axId val="603936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935711"/>
        <c:crosses val="autoZero"/>
        <c:crossBetween val="midCat"/>
      </c:valAx>
      <c:valAx>
        <c:axId val="603935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  <a:r>
                  <a:rPr lang="en-US" baseline="0"/>
                  <a:t> (kg)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936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 of additional 10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measurements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Forecast_using_Macros!$A$2:$A$32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xVal>
          <c:yVal>
            <c:numRef>
              <c:f>Forecast_using_Macros!$C$2:$C$32</c:f>
              <c:numCache>
                <c:formatCode>General</c:formatCode>
                <c:ptCount val="31"/>
                <c:pt idx="0">
                  <c:v>80</c:v>
                </c:pt>
                <c:pt idx="1">
                  <c:v>80.050577237353068</c:v>
                </c:pt>
                <c:pt idx="2">
                  <c:v>80.161321681739125</c:v>
                </c:pt>
                <c:pt idx="3">
                  <c:v>80.385043851121637</c:v>
                </c:pt>
                <c:pt idx="4">
                  <c:v>80.497233359432073</c:v>
                </c:pt>
                <c:pt idx="5">
                  <c:v>80.676946763845038</c:v>
                </c:pt>
                <c:pt idx="6">
                  <c:v>80.67379389710095</c:v>
                </c:pt>
                <c:pt idx="7">
                  <c:v>80.844311440176995</c:v>
                </c:pt>
                <c:pt idx="8">
                  <c:v>81.02402484458996</c:v>
                </c:pt>
                <c:pt idx="9">
                  <c:v>81.031381533659498</c:v>
                </c:pt>
                <c:pt idx="10">
                  <c:v>81.014828983253039</c:v>
                </c:pt>
                <c:pt idx="11">
                  <c:v>81.134900658423689</c:v>
                </c:pt>
                <c:pt idx="12">
                  <c:v>81.239207999873898</c:v>
                </c:pt>
                <c:pt idx="13">
                  <c:v>81.245645102809746</c:v>
                </c:pt>
                <c:pt idx="14">
                  <c:v>81.496823486755346</c:v>
                </c:pt>
                <c:pt idx="15">
                  <c:v>81.756934993142522</c:v>
                </c:pt>
                <c:pt idx="16">
                  <c:v>81.95963805089778</c:v>
                </c:pt>
                <c:pt idx="17">
                  <c:v>81.886465268545422</c:v>
                </c:pt>
                <c:pt idx="18">
                  <c:v>81.974220059589186</c:v>
                </c:pt>
                <c:pt idx="19">
                  <c:v>81.99523917121644</c:v>
                </c:pt>
                <c:pt idx="20">
                  <c:v>82.084044917841567</c:v>
                </c:pt>
                <c:pt idx="21">
                  <c:v>82.390529839256359</c:v>
                </c:pt>
                <c:pt idx="22">
                  <c:v>82.414570448180029</c:v>
                </c:pt>
                <c:pt idx="23">
                  <c:v>82.638029878667197</c:v>
                </c:pt>
                <c:pt idx="24">
                  <c:v>82.766771937384078</c:v>
                </c:pt>
                <c:pt idx="25">
                  <c:v>82.861620678602037</c:v>
                </c:pt>
                <c:pt idx="26">
                  <c:v>83.145641424465211</c:v>
                </c:pt>
                <c:pt idx="27">
                  <c:v>83.285287147338735</c:v>
                </c:pt>
                <c:pt idx="28">
                  <c:v>83.547631934336309</c:v>
                </c:pt>
                <c:pt idx="29">
                  <c:v>83.749546775405548</c:v>
                </c:pt>
                <c:pt idx="30">
                  <c:v>83.748233080928841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E-4241-B852-BDF89828AA11}"/>
            </c:ext>
          </c:extLst>
        </c:ser>
        <c:ser>
          <c:idx val="1"/>
          <c:order val="1"/>
          <c:tx>
            <c:v>forecast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Forecast_using_Macros!$A$2:$A$43</c:f>
              <c:numCache>
                <c:formatCode>General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Forecast_using_Macros!$G$2:$G$43</c:f>
              <c:numCache>
                <c:formatCode>General</c:formatCode>
                <c:ptCount val="42"/>
                <c:pt idx="3">
                  <c:v>80.275365487969282</c:v>
                </c:pt>
                <c:pt idx="4">
                  <c:v>80.478462590479594</c:v>
                </c:pt>
                <c:pt idx="5">
                  <c:v>80.591704502687548</c:v>
                </c:pt>
                <c:pt idx="6">
                  <c:v>80.781356529944134</c:v>
                </c:pt>
                <c:pt idx="7">
                  <c:v>80.793814838978889</c:v>
                </c:pt>
                <c:pt idx="8">
                  <c:v>80.969695722922978</c:v>
                </c:pt>
                <c:pt idx="9">
                  <c:v>81.125968602683429</c:v>
                </c:pt>
                <c:pt idx="10">
                  <c:v>81.156143240344804</c:v>
                </c:pt>
                <c:pt idx="11">
                  <c:v>81.167722895618553</c:v>
                </c:pt>
                <c:pt idx="12">
                  <c:v>81.274311210131017</c:v>
                </c:pt>
                <c:pt idx="13">
                  <c:v>81.362741131933745</c:v>
                </c:pt>
                <c:pt idx="14">
                  <c:v>81.385228776627017</c:v>
                </c:pt>
                <c:pt idx="15">
                  <c:v>81.620891161239385</c:v>
                </c:pt>
                <c:pt idx="16">
                  <c:v>81.848649837444924</c:v>
                </c:pt>
                <c:pt idx="17">
                  <c:v>82.06157407127219</c:v>
                </c:pt>
                <c:pt idx="18">
                  <c:v>82.03394767268621</c:v>
                </c:pt>
                <c:pt idx="19">
                  <c:v>82.140943353738621</c:v>
                </c:pt>
                <c:pt idx="20">
                  <c:v>82.14820832168428</c:v>
                </c:pt>
                <c:pt idx="21">
                  <c:v>82.238818236778286</c:v>
                </c:pt>
                <c:pt idx="22">
                  <c:v>82.510408731690504</c:v>
                </c:pt>
                <c:pt idx="23">
                  <c:v>82.542560060071224</c:v>
                </c:pt>
                <c:pt idx="24">
                  <c:v>82.783205394427455</c:v>
                </c:pt>
                <c:pt idx="25">
                  <c:v>82.89836150862314</c:v>
                </c:pt>
                <c:pt idx="26">
                  <c:v>83.013367458365892</c:v>
                </c:pt>
                <c:pt idx="27">
                  <c:v>83.28087751588734</c:v>
                </c:pt>
                <c:pt idx="28">
                  <c:v>83.415540841063091</c:v>
                </c:pt>
                <c:pt idx="29">
                  <c:v>83.686346347950192</c:v>
                </c:pt>
                <c:pt idx="30">
                  <c:v>83.882331483595777</c:v>
                </c:pt>
                <c:pt idx="31">
                  <c:v>83.918123103568291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2E-4241-B852-BDF89828A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928255"/>
        <c:axId val="511482287"/>
      </c:scatterChart>
      <c:valAx>
        <c:axId val="939928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82287"/>
        <c:crosses val="autoZero"/>
        <c:crossBetween val="midCat"/>
      </c:valAx>
      <c:valAx>
        <c:axId val="51148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928255"/>
        <c:crosses val="autoZero"/>
        <c:crossBetween val="midCat"/>
      </c:valAx>
      <c:spPr>
        <a:noFill/>
        <a:ln w="254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6234350016592753"/>
          <c:y val="0.41472686368749356"/>
          <c:w val="0.12999366458503031"/>
          <c:h val="0.162987626546681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 sz="14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  of additional 10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measurements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Forecast_using_Macros!$A$2:$A$32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xVal>
          <c:yVal>
            <c:numRef>
              <c:f>Forecast_using_Macros!$C$2:$C$32</c:f>
              <c:numCache>
                <c:formatCode>General</c:formatCode>
                <c:ptCount val="31"/>
                <c:pt idx="0">
                  <c:v>80</c:v>
                </c:pt>
                <c:pt idx="1">
                  <c:v>80.050577237353068</c:v>
                </c:pt>
                <c:pt idx="2">
                  <c:v>80.161321681739125</c:v>
                </c:pt>
                <c:pt idx="3">
                  <c:v>80.385043851121637</c:v>
                </c:pt>
                <c:pt idx="4">
                  <c:v>80.497233359432073</c:v>
                </c:pt>
                <c:pt idx="5">
                  <c:v>80.676946763845038</c:v>
                </c:pt>
                <c:pt idx="6">
                  <c:v>80.67379389710095</c:v>
                </c:pt>
                <c:pt idx="7">
                  <c:v>80.844311440176995</c:v>
                </c:pt>
                <c:pt idx="8">
                  <c:v>81.02402484458996</c:v>
                </c:pt>
                <c:pt idx="9">
                  <c:v>81.031381533659498</c:v>
                </c:pt>
                <c:pt idx="10">
                  <c:v>81.014828983253039</c:v>
                </c:pt>
                <c:pt idx="11">
                  <c:v>81.134900658423689</c:v>
                </c:pt>
                <c:pt idx="12">
                  <c:v>81.239207999873898</c:v>
                </c:pt>
                <c:pt idx="13">
                  <c:v>81.245645102809746</c:v>
                </c:pt>
                <c:pt idx="14">
                  <c:v>81.496823486755346</c:v>
                </c:pt>
                <c:pt idx="15">
                  <c:v>81.756934993142522</c:v>
                </c:pt>
                <c:pt idx="16">
                  <c:v>81.95963805089778</c:v>
                </c:pt>
                <c:pt idx="17">
                  <c:v>81.886465268545422</c:v>
                </c:pt>
                <c:pt idx="18">
                  <c:v>81.974220059589186</c:v>
                </c:pt>
                <c:pt idx="19">
                  <c:v>81.99523917121644</c:v>
                </c:pt>
                <c:pt idx="20">
                  <c:v>82.084044917841567</c:v>
                </c:pt>
                <c:pt idx="21">
                  <c:v>82.390529839256359</c:v>
                </c:pt>
                <c:pt idx="22">
                  <c:v>82.414570448180029</c:v>
                </c:pt>
                <c:pt idx="23">
                  <c:v>82.638029878667197</c:v>
                </c:pt>
                <c:pt idx="24">
                  <c:v>82.766771937384078</c:v>
                </c:pt>
                <c:pt idx="25">
                  <c:v>82.861620678602037</c:v>
                </c:pt>
                <c:pt idx="26">
                  <c:v>83.145641424465211</c:v>
                </c:pt>
                <c:pt idx="27">
                  <c:v>83.285287147338735</c:v>
                </c:pt>
                <c:pt idx="28">
                  <c:v>83.547631934336309</c:v>
                </c:pt>
                <c:pt idx="29">
                  <c:v>83.749546775405548</c:v>
                </c:pt>
                <c:pt idx="30">
                  <c:v>83.748233080928841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D7-4E8C-9B54-4466A2158B0A}"/>
            </c:ext>
          </c:extLst>
        </c:ser>
        <c:ser>
          <c:idx val="1"/>
          <c:order val="1"/>
          <c:tx>
            <c:v>forecats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Forecast_using_Macros!$A$2:$A$43</c:f>
              <c:numCache>
                <c:formatCode>General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Forecast_using_Macros!$G$2:$G$43</c:f>
              <c:numCache>
                <c:formatCode>General</c:formatCode>
                <c:ptCount val="42"/>
                <c:pt idx="3">
                  <c:v>80.275365487969282</c:v>
                </c:pt>
                <c:pt idx="4">
                  <c:v>80.478462590479594</c:v>
                </c:pt>
                <c:pt idx="5">
                  <c:v>80.591704502687548</c:v>
                </c:pt>
                <c:pt idx="6">
                  <c:v>80.781356529944134</c:v>
                </c:pt>
                <c:pt idx="7">
                  <c:v>80.793814838978889</c:v>
                </c:pt>
                <c:pt idx="8">
                  <c:v>80.969695722922978</c:v>
                </c:pt>
                <c:pt idx="9">
                  <c:v>81.125968602683429</c:v>
                </c:pt>
                <c:pt idx="10">
                  <c:v>81.156143240344804</c:v>
                </c:pt>
                <c:pt idx="11">
                  <c:v>81.167722895618553</c:v>
                </c:pt>
                <c:pt idx="12">
                  <c:v>81.274311210131017</c:v>
                </c:pt>
                <c:pt idx="13">
                  <c:v>81.362741131933745</c:v>
                </c:pt>
                <c:pt idx="14">
                  <c:v>81.385228776627017</c:v>
                </c:pt>
                <c:pt idx="15">
                  <c:v>81.620891161239385</c:v>
                </c:pt>
                <c:pt idx="16">
                  <c:v>81.848649837444924</c:v>
                </c:pt>
                <c:pt idx="17">
                  <c:v>82.06157407127219</c:v>
                </c:pt>
                <c:pt idx="18">
                  <c:v>82.03394767268621</c:v>
                </c:pt>
                <c:pt idx="19">
                  <c:v>82.140943353738621</c:v>
                </c:pt>
                <c:pt idx="20">
                  <c:v>82.14820832168428</c:v>
                </c:pt>
                <c:pt idx="21">
                  <c:v>82.238818236778286</c:v>
                </c:pt>
                <c:pt idx="22">
                  <c:v>82.510408731690504</c:v>
                </c:pt>
                <c:pt idx="23">
                  <c:v>82.542560060071224</c:v>
                </c:pt>
                <c:pt idx="24">
                  <c:v>82.783205394427455</c:v>
                </c:pt>
                <c:pt idx="25">
                  <c:v>82.89836150862314</c:v>
                </c:pt>
                <c:pt idx="26">
                  <c:v>83.013367458365892</c:v>
                </c:pt>
                <c:pt idx="27">
                  <c:v>83.28087751588734</c:v>
                </c:pt>
                <c:pt idx="28">
                  <c:v>83.415540841063091</c:v>
                </c:pt>
                <c:pt idx="29">
                  <c:v>83.686346347950192</c:v>
                </c:pt>
                <c:pt idx="30">
                  <c:v>83.882331483595777</c:v>
                </c:pt>
                <c:pt idx="31">
                  <c:v>83.918123103568291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D7-4E8C-9B54-4466A2158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936607"/>
        <c:axId val="1142420143"/>
      </c:scatterChart>
      <c:valAx>
        <c:axId val="939936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(days)</a:t>
                </a:r>
              </a:p>
            </c:rich>
          </c:tx>
          <c:layout>
            <c:manualLayout>
              <c:xMode val="edge"/>
              <c:yMode val="edge"/>
              <c:x val="0.49179161643223135"/>
              <c:y val="0.929883919149281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420143"/>
        <c:crosses val="autoZero"/>
        <c:crossBetween val="midCat"/>
      </c:valAx>
      <c:valAx>
        <c:axId val="1142420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 (kg)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936607"/>
        <c:crosses val="autoZero"/>
        <c:crossBetween val="midCat"/>
      </c:valAx>
      <c:spPr>
        <a:noFill/>
        <a:ln w="254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 sz="14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measurements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Forecast_using_Macros!$A$2:$A$32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xVal>
          <c:yVal>
            <c:numRef>
              <c:f>Forecast_using_Macros!$C$2:$C$32</c:f>
              <c:numCache>
                <c:formatCode>General</c:formatCode>
                <c:ptCount val="31"/>
                <c:pt idx="0">
                  <c:v>80</c:v>
                </c:pt>
                <c:pt idx="1">
                  <c:v>80.050577237353068</c:v>
                </c:pt>
                <c:pt idx="2">
                  <c:v>80.161321681739125</c:v>
                </c:pt>
                <c:pt idx="3">
                  <c:v>80.385043851121637</c:v>
                </c:pt>
                <c:pt idx="4">
                  <c:v>80.497233359432073</c:v>
                </c:pt>
                <c:pt idx="5">
                  <c:v>80.676946763845038</c:v>
                </c:pt>
                <c:pt idx="6">
                  <c:v>80.67379389710095</c:v>
                </c:pt>
                <c:pt idx="7">
                  <c:v>80.844311440176995</c:v>
                </c:pt>
                <c:pt idx="8">
                  <c:v>81.02402484458996</c:v>
                </c:pt>
                <c:pt idx="9">
                  <c:v>81.031381533659498</c:v>
                </c:pt>
                <c:pt idx="10">
                  <c:v>81.014828983253039</c:v>
                </c:pt>
                <c:pt idx="11">
                  <c:v>81.134900658423689</c:v>
                </c:pt>
                <c:pt idx="12">
                  <c:v>81.239207999873898</c:v>
                </c:pt>
                <c:pt idx="13">
                  <c:v>81.245645102809746</c:v>
                </c:pt>
                <c:pt idx="14">
                  <c:v>81.496823486755346</c:v>
                </c:pt>
                <c:pt idx="15">
                  <c:v>81.756934993142522</c:v>
                </c:pt>
                <c:pt idx="16">
                  <c:v>81.95963805089778</c:v>
                </c:pt>
                <c:pt idx="17">
                  <c:v>81.886465268545422</c:v>
                </c:pt>
                <c:pt idx="18">
                  <c:v>81.974220059589186</c:v>
                </c:pt>
                <c:pt idx="19">
                  <c:v>81.99523917121644</c:v>
                </c:pt>
                <c:pt idx="20">
                  <c:v>82.084044917841567</c:v>
                </c:pt>
                <c:pt idx="21">
                  <c:v>82.390529839256359</c:v>
                </c:pt>
                <c:pt idx="22">
                  <c:v>82.414570448180029</c:v>
                </c:pt>
                <c:pt idx="23">
                  <c:v>82.638029878667197</c:v>
                </c:pt>
                <c:pt idx="24">
                  <c:v>82.766771937384078</c:v>
                </c:pt>
                <c:pt idx="25">
                  <c:v>82.861620678602037</c:v>
                </c:pt>
                <c:pt idx="26">
                  <c:v>83.145641424465211</c:v>
                </c:pt>
                <c:pt idx="27">
                  <c:v>83.285287147338735</c:v>
                </c:pt>
                <c:pt idx="28">
                  <c:v>83.547631934336309</c:v>
                </c:pt>
                <c:pt idx="29">
                  <c:v>83.749546775405548</c:v>
                </c:pt>
                <c:pt idx="30">
                  <c:v>83.748233080928841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6-486C-9016-5F0F1C122606}"/>
            </c:ext>
          </c:extLst>
        </c:ser>
        <c:ser>
          <c:idx val="1"/>
          <c:order val="1"/>
          <c:tx>
            <c:v>forecast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Forecast_using_Macros!$A$2:$A$43</c:f>
              <c:numCache>
                <c:formatCode>General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Forecast_using_Macros!$G$2:$G$43</c:f>
              <c:numCache>
                <c:formatCode>General</c:formatCode>
                <c:ptCount val="42"/>
                <c:pt idx="3">
                  <c:v>80.275365487969282</c:v>
                </c:pt>
                <c:pt idx="4">
                  <c:v>80.478462590479594</c:v>
                </c:pt>
                <c:pt idx="5">
                  <c:v>80.591704502687548</c:v>
                </c:pt>
                <c:pt idx="6">
                  <c:v>80.781356529944134</c:v>
                </c:pt>
                <c:pt idx="7">
                  <c:v>80.793814838978889</c:v>
                </c:pt>
                <c:pt idx="8">
                  <c:v>80.969695722922978</c:v>
                </c:pt>
                <c:pt idx="9">
                  <c:v>81.125968602683429</c:v>
                </c:pt>
                <c:pt idx="10">
                  <c:v>81.156143240344804</c:v>
                </c:pt>
                <c:pt idx="11">
                  <c:v>81.167722895618553</c:v>
                </c:pt>
                <c:pt idx="12">
                  <c:v>81.274311210131017</c:v>
                </c:pt>
                <c:pt idx="13">
                  <c:v>81.362741131933745</c:v>
                </c:pt>
                <c:pt idx="14">
                  <c:v>81.385228776627017</c:v>
                </c:pt>
                <c:pt idx="15">
                  <c:v>81.620891161239385</c:v>
                </c:pt>
                <c:pt idx="16">
                  <c:v>81.848649837444924</c:v>
                </c:pt>
                <c:pt idx="17">
                  <c:v>82.06157407127219</c:v>
                </c:pt>
                <c:pt idx="18">
                  <c:v>82.03394767268621</c:v>
                </c:pt>
                <c:pt idx="19">
                  <c:v>82.140943353738621</c:v>
                </c:pt>
                <c:pt idx="20">
                  <c:v>82.14820832168428</c:v>
                </c:pt>
                <c:pt idx="21">
                  <c:v>82.238818236778286</c:v>
                </c:pt>
                <c:pt idx="22">
                  <c:v>82.510408731690504</c:v>
                </c:pt>
                <c:pt idx="23">
                  <c:v>82.542560060071224</c:v>
                </c:pt>
                <c:pt idx="24">
                  <c:v>82.783205394427455</c:v>
                </c:pt>
                <c:pt idx="25">
                  <c:v>82.89836150862314</c:v>
                </c:pt>
                <c:pt idx="26">
                  <c:v>83.013367458365892</c:v>
                </c:pt>
                <c:pt idx="27">
                  <c:v>83.28087751588734</c:v>
                </c:pt>
                <c:pt idx="28">
                  <c:v>83.415540841063091</c:v>
                </c:pt>
                <c:pt idx="29">
                  <c:v>83.686346347950192</c:v>
                </c:pt>
                <c:pt idx="30">
                  <c:v>83.882331483595777</c:v>
                </c:pt>
                <c:pt idx="31">
                  <c:v>83.918123103568291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B6-486C-9016-5F0F1C12260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A4B6-486C-9016-5F0F1C12260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4-A4B6-486C-9016-5F0F1C12260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5-A4B6-486C-9016-5F0F1C12260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6-A4B6-486C-9016-5F0F1C12260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7-A4B6-486C-9016-5F0F1C122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0078319"/>
        <c:axId val="939711471"/>
      </c:scatterChart>
      <c:valAx>
        <c:axId val="1150078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711471"/>
        <c:crosses val="autoZero"/>
        <c:crossBetween val="midCat"/>
      </c:valAx>
      <c:valAx>
        <c:axId val="93971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078319"/>
        <c:crosses val="autoZero"/>
        <c:crossBetween val="midCat"/>
      </c:valAx>
      <c:spPr>
        <a:noFill/>
        <a:ln w="15875" cap="flat" cmpd="sng" algn="ctr">
          <a:solidFill>
            <a:sysClr val="window" lastClr="FFFFFF">
              <a:lumMod val="65000"/>
            </a:sysClr>
          </a:solidFill>
          <a:prstDash val="solid"/>
          <a:round/>
          <a:headEnd type="none" w="med" len="med"/>
          <a:tailEnd type="none" w="med" len="med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tx1">
          <a:lumMod val="100000"/>
        </a:schemeClr>
      </a:solidFill>
      <a:round/>
    </a:ln>
    <a:effectLst/>
  </c:spPr>
  <c:txPr>
    <a:bodyPr/>
    <a:lstStyle/>
    <a:p>
      <a:pPr>
        <a:defRPr sz="14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measurements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Forecast_using_Macros!$A$2:$A$32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xVal>
          <c:yVal>
            <c:numRef>
              <c:f>Forecast_using_Macros!$C$2:$C$32</c:f>
              <c:numCache>
                <c:formatCode>General</c:formatCode>
                <c:ptCount val="31"/>
                <c:pt idx="0">
                  <c:v>80</c:v>
                </c:pt>
                <c:pt idx="1">
                  <c:v>80.050577237353068</c:v>
                </c:pt>
                <c:pt idx="2">
                  <c:v>80.161321681739125</c:v>
                </c:pt>
                <c:pt idx="3">
                  <c:v>80.385043851121637</c:v>
                </c:pt>
                <c:pt idx="4">
                  <c:v>80.497233359432073</c:v>
                </c:pt>
                <c:pt idx="5">
                  <c:v>80.676946763845038</c:v>
                </c:pt>
                <c:pt idx="6">
                  <c:v>80.67379389710095</c:v>
                </c:pt>
                <c:pt idx="7">
                  <c:v>80.844311440176995</c:v>
                </c:pt>
                <c:pt idx="8">
                  <c:v>81.02402484458996</c:v>
                </c:pt>
                <c:pt idx="9">
                  <c:v>81.031381533659498</c:v>
                </c:pt>
                <c:pt idx="10">
                  <c:v>81.014828983253039</c:v>
                </c:pt>
                <c:pt idx="11">
                  <c:v>81.134900658423689</c:v>
                </c:pt>
                <c:pt idx="12">
                  <c:v>81.239207999873898</c:v>
                </c:pt>
                <c:pt idx="13">
                  <c:v>81.245645102809746</c:v>
                </c:pt>
                <c:pt idx="14">
                  <c:v>81.496823486755346</c:v>
                </c:pt>
                <c:pt idx="15">
                  <c:v>81.756934993142522</c:v>
                </c:pt>
                <c:pt idx="16">
                  <c:v>81.95963805089778</c:v>
                </c:pt>
                <c:pt idx="17">
                  <c:v>81.886465268545422</c:v>
                </c:pt>
                <c:pt idx="18">
                  <c:v>81.974220059589186</c:v>
                </c:pt>
                <c:pt idx="19">
                  <c:v>81.99523917121644</c:v>
                </c:pt>
                <c:pt idx="20">
                  <c:v>82.084044917841567</c:v>
                </c:pt>
                <c:pt idx="21">
                  <c:v>82.390529839256359</c:v>
                </c:pt>
                <c:pt idx="22">
                  <c:v>82.414570448180029</c:v>
                </c:pt>
                <c:pt idx="23">
                  <c:v>82.638029878667197</c:v>
                </c:pt>
                <c:pt idx="24">
                  <c:v>82.766771937384078</c:v>
                </c:pt>
                <c:pt idx="25">
                  <c:v>82.861620678602037</c:v>
                </c:pt>
                <c:pt idx="26">
                  <c:v>83.145641424465211</c:v>
                </c:pt>
                <c:pt idx="27">
                  <c:v>83.285287147338735</c:v>
                </c:pt>
                <c:pt idx="28">
                  <c:v>83.547631934336309</c:v>
                </c:pt>
                <c:pt idx="29">
                  <c:v>83.749546775405548</c:v>
                </c:pt>
                <c:pt idx="30">
                  <c:v>83.748233080928841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00-4F68-BB80-2F2AE3D8725B}"/>
            </c:ext>
          </c:extLst>
        </c:ser>
        <c:ser>
          <c:idx val="1"/>
          <c:order val="1"/>
          <c:tx>
            <c:v>forecast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Forecast_using_Macros!$A$2:$A$43</c:f>
              <c:numCache>
                <c:formatCode>General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Forecast_using_Macros!$G$2:$G$43</c:f>
              <c:numCache>
                <c:formatCode>General</c:formatCode>
                <c:ptCount val="42"/>
                <c:pt idx="3">
                  <c:v>80.275365487969282</c:v>
                </c:pt>
                <c:pt idx="4">
                  <c:v>80.478462590479594</c:v>
                </c:pt>
                <c:pt idx="5">
                  <c:v>80.591704502687548</c:v>
                </c:pt>
                <c:pt idx="6">
                  <c:v>80.781356529944134</c:v>
                </c:pt>
                <c:pt idx="7">
                  <c:v>80.793814838978889</c:v>
                </c:pt>
                <c:pt idx="8">
                  <c:v>80.969695722922978</c:v>
                </c:pt>
                <c:pt idx="9">
                  <c:v>81.125968602683429</c:v>
                </c:pt>
                <c:pt idx="10">
                  <c:v>81.156143240344804</c:v>
                </c:pt>
                <c:pt idx="11">
                  <c:v>81.167722895618553</c:v>
                </c:pt>
                <c:pt idx="12">
                  <c:v>81.274311210131017</c:v>
                </c:pt>
                <c:pt idx="13">
                  <c:v>81.362741131933745</c:v>
                </c:pt>
                <c:pt idx="14">
                  <c:v>81.385228776627017</c:v>
                </c:pt>
                <c:pt idx="15">
                  <c:v>81.620891161239385</c:v>
                </c:pt>
                <c:pt idx="16">
                  <c:v>81.848649837444924</c:v>
                </c:pt>
                <c:pt idx="17">
                  <c:v>82.06157407127219</c:v>
                </c:pt>
                <c:pt idx="18">
                  <c:v>82.03394767268621</c:v>
                </c:pt>
                <c:pt idx="19">
                  <c:v>82.140943353738621</c:v>
                </c:pt>
                <c:pt idx="20">
                  <c:v>82.14820832168428</c:v>
                </c:pt>
                <c:pt idx="21">
                  <c:v>82.238818236778286</c:v>
                </c:pt>
                <c:pt idx="22">
                  <c:v>82.510408731690504</c:v>
                </c:pt>
                <c:pt idx="23">
                  <c:v>82.542560060071224</c:v>
                </c:pt>
                <c:pt idx="24">
                  <c:v>82.783205394427455</c:v>
                </c:pt>
                <c:pt idx="25">
                  <c:v>82.89836150862314</c:v>
                </c:pt>
                <c:pt idx="26">
                  <c:v>83.013367458365892</c:v>
                </c:pt>
                <c:pt idx="27">
                  <c:v>83.28087751588734</c:v>
                </c:pt>
                <c:pt idx="28">
                  <c:v>83.415540841063091</c:v>
                </c:pt>
                <c:pt idx="29">
                  <c:v>83.686346347950192</c:v>
                </c:pt>
                <c:pt idx="30">
                  <c:v>83.882331483595777</c:v>
                </c:pt>
                <c:pt idx="31">
                  <c:v>83.918123103568291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00-4F68-BB80-2F2AE3D87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596143"/>
        <c:axId val="511485647"/>
      </c:scatterChart>
      <c:valAx>
        <c:axId val="99459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85647"/>
        <c:crosses val="autoZero"/>
        <c:crossBetween val="midCat"/>
      </c:valAx>
      <c:valAx>
        <c:axId val="511485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59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>
      <cx:tx>
        <cx:txData>
          <cx:v>Ingested vs Expended calories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Ingested vs Expended calories</a:t>
          </a:r>
        </a:p>
      </cx:txPr>
    </cx:title>
    <cx:plotArea>
      <cx:plotAreaRegion>
        <cx:plotSurface>
          <cx:spPr>
            <a:solidFill>
              <a:schemeClr val="bg2">
                <a:lumMod val="75000"/>
              </a:schemeClr>
            </a:solidFill>
            <a:ln w="9525">
              <a:solidFill>
                <a:schemeClr val="tx1"/>
              </a:solidFill>
            </a:ln>
          </cx:spPr>
        </cx:plotSurface>
        <cx:series layoutId="boxWhisker" uniqueId="{179B7DB4-337B-47B3-97ED-A4D024F16D2B}" formatIdx="0">
          <cx:tx>
            <cx:txData>
              <cx:f>_xlchart.v1.0</cx:f>
              <cx:v>Ingested calories </cx:v>
            </cx:txData>
          </cx:tx>
          <cx:spPr>
            <a:gradFill flip="none" rotWithShape="1">
              <a:gsLst>
                <a:gs pos="0">
                  <a:srgbClr val="00B0F0">
                    <a:tint val="66000"/>
                    <a:satMod val="160000"/>
                  </a:srgbClr>
                </a:gs>
                <a:gs pos="50000">
                  <a:srgbClr val="00B0F0">
                    <a:tint val="44500"/>
                    <a:satMod val="160000"/>
                  </a:srgbClr>
                </a:gs>
                <a:gs pos="100000">
                  <a:srgbClr val="00B0F0">
                    <a:tint val="23500"/>
                    <a:satMod val="160000"/>
                  </a:srgbClr>
                </a:gs>
              </a:gsLst>
              <a:lin ang="18900000" scaled="1"/>
              <a:tileRect/>
            </a:gradFill>
            <a:ln w="12700">
              <a:solidFill>
                <a:srgbClr val="0070C0"/>
              </a:solidFill>
            </a:ln>
          </cx:spPr>
          <cx:dataId val="0"/>
          <cx:layoutPr>
            <cx:visibility meanLine="1" meanMarker="1" nonoutliers="1" outliers="1"/>
            <cx:statistics quartileMethod="exclusive"/>
          </cx:layoutPr>
        </cx:series>
        <cx:series layoutId="boxWhisker" uniqueId="{00000002-966D-4161-83C3-41B8955F85A1}" formatIdx="1">
          <cx:tx>
            <cx:txData>
              <cx:f>_xlchart.v1.2</cx:f>
              <cx:v>Total Expended calories (includes exercise)</cx:v>
            </cx:txData>
          </cx:tx>
          <cx:spPr>
            <a:gradFill flip="none" rotWithShape="1">
              <a:gsLst>
                <a:gs pos="0">
                  <a:srgbClr val="FFC000">
                    <a:tint val="66000"/>
                    <a:satMod val="160000"/>
                  </a:srgbClr>
                </a:gs>
                <a:gs pos="50000">
                  <a:srgbClr val="FFC000">
                    <a:tint val="44500"/>
                    <a:satMod val="160000"/>
                  </a:srgbClr>
                </a:gs>
                <a:gs pos="100000">
                  <a:srgbClr val="FFC000">
                    <a:tint val="23500"/>
                    <a:satMod val="160000"/>
                  </a:srgbClr>
                </a:gs>
              </a:gsLst>
              <a:lin ang="2700000" scaled="1"/>
              <a:tileRect/>
            </a:gradFill>
            <a:ln w="12700">
              <a:solidFill>
                <a:srgbClr val="FF0000"/>
              </a:solidFill>
            </a:ln>
          </cx:spPr>
          <cx:dataId val="1"/>
          <cx:layoutPr>
            <cx:visibility meanLine="1"/>
            <cx:statistics quartileMethod="exclusive"/>
          </cx:layoutPr>
        </cx:series>
      </cx:plotAreaRegion>
      <cx:axis id="0" hidden="1">
        <cx:catScaling gapWidth="0.670000017"/>
        <cx:tickLabels/>
      </cx:axis>
      <cx:axis id="1">
        <cx:valScaling min="2000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</a:rPr>
                  <a:t>Calories</a:t>
                </a:r>
              </a:p>
              <a:p>
                <a:pPr algn="ctr" rtl="0">
                  <a:defRPr/>
                </a:pPr>
                <a:endPara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rich>
          </cx:tx>
        </cx:title>
        <cx:majorGridlines/>
        <cx:tickLabels/>
      </cx:axis>
    </cx:plotArea>
    <cx:legend pos="r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spPr>
    <a:ln w="19050">
      <a:solidFill>
        <a:schemeClr val="tx1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  <cx:data id="1">
      <cx:numDim type="val">
        <cx:f>_xlchart.v1.7</cx:f>
      </cx:numDim>
    </cx:data>
    <cx:data id="2">
      <cx:numDim type="val">
        <cx:f>_xlchart.v1.9</cx:f>
      </cx:numDim>
    </cx:data>
    <cx:data id="3">
      <cx:numDim type="val">
        <cx:f>_xlchart.v1.11</cx:f>
      </cx:numDim>
    </cx:data>
    <cx:data id="4">
      <cx:numDim type="val">
        <cx:f>_xlchart.v1.13</cx:f>
      </cx:numDim>
    </cx:data>
  </cx:chartData>
  <cx:chart>
    <cx:title pos="t" align="ctr" overlay="0">
      <cx:tx>
        <cx:txData>
          <cx:v>Breakfast vs Lunch vs Afternoon snack vs Dinner &amp; Exercise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Breakfast vs Lunch vs Afternoon snack vs Dinner &amp; Exercise</a:t>
          </a:r>
        </a:p>
      </cx:txPr>
    </cx:title>
    <cx:plotArea>
      <cx:plotAreaRegion>
        <cx:plotSurface>
          <cx:spPr>
            <a:ln w="12700">
              <a:solidFill>
                <a:schemeClr val="tx1"/>
              </a:solidFill>
            </a:ln>
          </cx:spPr>
        </cx:plotSurface>
        <cx:series layoutId="boxWhisker" uniqueId="{D730B68C-6A68-4F0B-B16F-34C663DBEA0F}">
          <cx:tx>
            <cx:txData>
              <cx:f>_xlchart.v1.4</cx:f>
              <cx:v>breakfast cal Total</cx:v>
            </cx:txData>
          </cx:tx>
          <cx:spPr>
            <a:solidFill>
              <a:schemeClr val="accent4">
                <a:alpha val="60000"/>
              </a:schemeClr>
            </a:solidFill>
            <a:ln>
              <a:solidFill>
                <a:schemeClr val="tx1"/>
              </a:solidFill>
            </a:ln>
            <a:effectLst>
              <a:glow rad="127000">
                <a:schemeClr val="accent1">
                  <a:alpha val="0"/>
                </a:schemeClr>
              </a:glow>
            </a:effectLst>
          </cx:spPr>
          <cx:dataId val="0"/>
          <cx:layoutPr>
            <cx:visibility meanLine="1" meanMarker="1" nonoutliers="1" outliers="1"/>
            <cx:statistics quartileMethod="exclusive"/>
          </cx:layoutPr>
        </cx:series>
        <cx:series layoutId="boxWhisker" uniqueId="{00000001-BBB3-48B2-8E73-8B03AB5C0CEF}">
          <cx:tx>
            <cx:txData>
              <cx:f>_xlchart.v1.6</cx:f>
              <cx:v>lunch cal Total</cx:v>
            </cx:txData>
          </cx:tx>
          <cx:spPr>
            <a:solidFill>
              <a:schemeClr val="accent6">
                <a:alpha val="60000"/>
              </a:schemeClr>
            </a:solidFill>
            <a:ln>
              <a:solidFill>
                <a:schemeClr val="tx1"/>
              </a:solidFill>
            </a:ln>
          </cx:spPr>
          <cx:dataId val="1"/>
          <cx:layoutPr>
            <cx:visibility meanLine="1"/>
            <cx:statistics quartileMethod="exclusive"/>
          </cx:layoutPr>
        </cx:series>
        <cx:series layoutId="boxWhisker" uniqueId="{00000002-BBB3-48B2-8E73-8B03AB5C0CEF}">
          <cx:tx>
            <cx:txData>
              <cx:f>_xlchart.v1.8</cx:f>
              <cx:v>afternoon cal Total</cx:v>
            </cx:txData>
          </cx:tx>
          <cx:spPr>
            <a:solidFill>
              <a:schemeClr val="accent5">
                <a:lumMod val="60000"/>
                <a:lumOff val="40000"/>
                <a:alpha val="60000"/>
              </a:schemeClr>
            </a:solidFill>
            <a:ln>
              <a:solidFill>
                <a:schemeClr val="tx1"/>
              </a:solidFill>
            </a:ln>
          </cx:spPr>
          <cx:dataId val="2"/>
          <cx:layoutPr>
            <cx:visibility meanLine="1"/>
            <cx:statistics quartileMethod="exclusive"/>
          </cx:layoutPr>
        </cx:series>
        <cx:series layoutId="boxWhisker" uniqueId="{00000003-BBB3-48B2-8E73-8B03AB5C0CEF}">
          <cx:tx>
            <cx:txData>
              <cx:f>_xlchart.v1.10</cx:f>
              <cx:v>dinner cal Total</cx:v>
            </cx:txData>
          </cx:tx>
          <cx:spPr>
            <a:solidFill>
              <a:schemeClr val="accent2">
                <a:alpha val="60000"/>
              </a:schemeClr>
            </a:solidFill>
            <a:ln>
              <a:solidFill>
                <a:schemeClr val="tx1"/>
              </a:solidFill>
            </a:ln>
          </cx:spPr>
          <cx:dataId val="3"/>
          <cx:layoutPr>
            <cx:visibility meanLine="1"/>
            <cx:statistics quartileMethod="exclusive"/>
          </cx:layoutPr>
        </cx:series>
        <cx:series layoutId="boxWhisker" uniqueId="{00000004-BBB3-48B2-8E73-8B03AB5C0CEF}">
          <cx:tx>
            <cx:txData>
              <cx:f>_xlchart.v1.12</cx:f>
              <cx:v>exercise cal Total</cx:v>
            </cx:txData>
          </cx:tx>
          <cx:spPr>
            <a:solidFill>
              <a:srgbClr val="7030A0">
                <a:alpha val="60000"/>
              </a:srgbClr>
            </a:solidFill>
            <a:ln>
              <a:solidFill>
                <a:sysClr val="windowText" lastClr="000000"/>
              </a:solidFill>
            </a:ln>
          </cx:spPr>
          <cx:dataId val="4"/>
          <cx:layoutPr>
            <cx:visibility meanLine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Calories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Calories</a:t>
              </a:r>
            </a:p>
          </cx:txPr>
        </cx:title>
        <cx:majorGridlines/>
        <cx:tickLabels/>
      </cx:axis>
    </cx:plotArea>
    <cx:legend pos="r" align="ctr" overlay="0"/>
  </cx:chart>
  <cx:spPr>
    <a:ln w="19050">
      <a:solidFill>
        <a:schemeClr val="tx1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258245</xdr:colOff>
      <xdr:row>1</xdr:row>
      <xdr:rowOff>16856</xdr:rowOff>
    </xdr:from>
    <xdr:to>
      <xdr:col>21</xdr:col>
      <xdr:colOff>331770</xdr:colOff>
      <xdr:row>15</xdr:row>
      <xdr:rowOff>95196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8A602A-FC8A-EF30-5A59-C12EDB12E1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152401</xdr:colOff>
      <xdr:row>11</xdr:row>
      <xdr:rowOff>157161</xdr:rowOff>
    </xdr:from>
    <xdr:to>
      <xdr:col>5</xdr:col>
      <xdr:colOff>762000</xdr:colOff>
      <xdr:row>37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CA4FA8E-3D7F-8629-81F9-CDF5A1DC04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990600</xdr:colOff>
      <xdr:row>16</xdr:row>
      <xdr:rowOff>57151</xdr:rowOff>
    </xdr:from>
    <xdr:to>
      <xdr:col>8</xdr:col>
      <xdr:colOff>504825</xdr:colOff>
      <xdr:row>22</xdr:row>
      <xdr:rowOff>38101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320D4D9-8149-06DB-A307-161E5D3FD89C}"/>
            </a:ext>
          </a:extLst>
        </xdr:cNvPr>
        <xdr:cNvSpPr txBox="1"/>
      </xdr:nvSpPr>
      <xdr:spPr>
        <a:xfrm>
          <a:off x="8848725" y="3105151"/>
          <a:ext cx="3467100" cy="112395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1" u="sng">
              <a:solidFill>
                <a:schemeClr val="tx1"/>
              </a:solidFill>
            </a:rPr>
            <a:t>Habits</a:t>
          </a:r>
          <a:r>
            <a:rPr lang="en-US" sz="1100" b="1" i="1">
              <a:solidFill>
                <a:schemeClr val="tx1"/>
              </a:solidFill>
            </a:rPr>
            <a:t>:</a:t>
          </a:r>
        </a:p>
        <a:p>
          <a:r>
            <a:rPr lang="en-US" sz="1100" b="1" i="1">
              <a:solidFill>
                <a:srgbClr val="FF0000"/>
              </a:solidFill>
            </a:rPr>
            <a:t>More calories </a:t>
          </a:r>
          <a:r>
            <a:rPr lang="en-US" sz="1100"/>
            <a:t>are received during Sunday lunch and dinner time. On the other</a:t>
          </a:r>
          <a:r>
            <a:rPr lang="en-US" sz="1100" baseline="0"/>
            <a:t> hand</a:t>
          </a:r>
          <a:r>
            <a:rPr lang="en-US" sz="1100" b="0" baseline="0">
              <a:solidFill>
                <a:schemeClr val="tx1"/>
              </a:solidFill>
            </a:rPr>
            <a:t>,</a:t>
          </a:r>
          <a:r>
            <a:rPr lang="en-US" sz="1100" b="1" baseline="0">
              <a:solidFill>
                <a:srgbClr val="7030A0"/>
              </a:solidFill>
            </a:rPr>
            <a:t> less calories </a:t>
          </a:r>
          <a:r>
            <a:rPr lang="en-US" sz="1100" baseline="0"/>
            <a:t>are received during breakfasts on Tuesdays and Fridays.</a:t>
          </a:r>
        </a:p>
        <a:p>
          <a:r>
            <a:rPr lang="en-US" sz="1100" baseline="0"/>
            <a:t>Saturday is the day with the least </a:t>
          </a:r>
          <a:r>
            <a:rPr lang="en-US" sz="1100" b="1" i="1" baseline="0">
              <a:solidFill>
                <a:schemeClr val="tx1"/>
              </a:solidFill>
            </a:rPr>
            <a:t>exercise</a:t>
          </a:r>
          <a:r>
            <a:rPr lang="en-US" sz="1100" baseline="0"/>
            <a:t> whereas a lot of calories are spent on Mondays and Tuesdays.</a:t>
          </a:r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51</xdr:row>
      <xdr:rowOff>0</xdr:rowOff>
    </xdr:from>
    <xdr:to>
      <xdr:col>4</xdr:col>
      <xdr:colOff>1047750</xdr:colOff>
      <xdr:row>69</xdr:row>
      <xdr:rowOff>42863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9D81C0E-B686-4FE7-A82A-236762A9FA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342899</xdr:colOff>
      <xdr:row>1</xdr:row>
      <xdr:rowOff>123826</xdr:rowOff>
    </xdr:from>
    <xdr:to>
      <xdr:col>15</xdr:col>
      <xdr:colOff>333374</xdr:colOff>
      <xdr:row>4</xdr:row>
      <xdr:rowOff>161926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68887C8-2072-37B3-A558-D5940C939438}"/>
            </a:ext>
          </a:extLst>
        </xdr:cNvPr>
        <xdr:cNvSpPr txBox="1"/>
      </xdr:nvSpPr>
      <xdr:spPr>
        <a:xfrm>
          <a:off x="13068299" y="314326"/>
          <a:ext cx="3038475" cy="62865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diet </a:t>
          </a:r>
          <a:r>
            <a:rPr lang="en-US" sz="1100" b="1" i="1" u="sng" baseline="0">
              <a:solidFill>
                <a:srgbClr val="002060"/>
              </a:solidFill>
            </a:rPr>
            <a:t>bread</a:t>
          </a:r>
          <a:r>
            <a:rPr lang="en-US" sz="1100" baseline="0"/>
            <a:t> is the most common food which is eaten and </a:t>
          </a:r>
          <a:r>
            <a:rPr lang="en-US" sz="1100" b="1" i="1" u="sng" baseline="0">
              <a:solidFill>
                <a:schemeClr val="accent6"/>
              </a:solidFill>
            </a:rPr>
            <a:t>walking</a:t>
          </a:r>
          <a:r>
            <a:rPr lang="en-US" sz="1100" baseline="0"/>
            <a:t> is the most favorite kind of exercise.</a:t>
          </a: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190499</xdr:rowOff>
    </xdr:from>
    <xdr:to>
      <xdr:col>11</xdr:col>
      <xdr:colOff>28575</xdr:colOff>
      <xdr:row>18</xdr:row>
      <xdr:rowOff>161924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5557B90-32F8-D1A6-61DE-6191AC940B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6225" y="190499"/>
              <a:ext cx="6457950" cy="3400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280986</xdr:colOff>
      <xdr:row>20</xdr:row>
      <xdr:rowOff>33336</xdr:rowOff>
    </xdr:from>
    <xdr:to>
      <xdr:col>11</xdr:col>
      <xdr:colOff>19049</xdr:colOff>
      <xdr:row>36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6548B4AF-DE1D-E77D-345E-1331EF2C2A8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986" y="3843336"/>
              <a:ext cx="6443663" cy="31575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333375</xdr:colOff>
      <xdr:row>14</xdr:row>
      <xdr:rowOff>166687</xdr:rowOff>
    </xdr:from>
    <xdr:to>
      <xdr:col>13</xdr:col>
      <xdr:colOff>590550</xdr:colOff>
      <xdr:row>29</xdr:row>
      <xdr:rowOff>52387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1F60CF2-82E6-9B8D-64DA-206869775C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114301</xdr:rowOff>
    </xdr:from>
    <xdr:to>
      <xdr:col>3</xdr:col>
      <xdr:colOff>2066925</xdr:colOff>
      <xdr:row>2</xdr:row>
      <xdr:rowOff>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90AC42A-90FE-C75E-9355-49682BA5FF5F}"/>
            </a:ext>
          </a:extLst>
        </xdr:cNvPr>
        <xdr:cNvSpPr txBox="1"/>
      </xdr:nvSpPr>
      <xdr:spPr>
        <a:xfrm>
          <a:off x="3762374" y="114301"/>
          <a:ext cx="2047876" cy="266700"/>
        </a:xfrm>
        <a:prstGeom prst="rect">
          <a:avLst/>
        </a:prstGeom>
        <a:solidFill>
          <a:schemeClr val="lt1"/>
        </a:solidFill>
        <a:ln w="190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/>
            <a:t>use of data analysis toolpack</a:t>
          </a:r>
        </a:p>
      </xdr:txBody>
    </xdr:sp>
    <xdr:clientData/>
  </xdr:twoCellAnchor>
  <xdr:twoCellAnchor>
    <xdr:from>
      <xdr:col>5</xdr:col>
      <xdr:colOff>2171700</xdr:colOff>
      <xdr:row>11</xdr:row>
      <xdr:rowOff>57150</xdr:rowOff>
    </xdr:from>
    <xdr:to>
      <xdr:col>9</xdr:col>
      <xdr:colOff>209551</xdr:colOff>
      <xdr:row>12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9F4E566-E9D0-4BA4-A19B-029B62B7AB79}"/>
            </a:ext>
          </a:extLst>
        </xdr:cNvPr>
        <xdr:cNvSpPr txBox="1"/>
      </xdr:nvSpPr>
      <xdr:spPr>
        <a:xfrm>
          <a:off x="9715500" y="2162175"/>
          <a:ext cx="2047876" cy="266700"/>
        </a:xfrm>
        <a:prstGeom prst="rect">
          <a:avLst/>
        </a:prstGeom>
        <a:solidFill>
          <a:schemeClr val="lt1"/>
        </a:solidFill>
        <a:ln w="190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/>
            <a:t>use of T</a:t>
          </a:r>
          <a:r>
            <a:rPr lang="en-US" sz="1100" b="1" i="1" baseline="0"/>
            <a:t> test formula</a:t>
          </a:r>
          <a:endParaRPr lang="en-US" sz="1100" b="1" i="1"/>
        </a:p>
      </xdr:txBody>
    </xdr:sp>
    <xdr:clientData/>
  </xdr:twoCellAnchor>
  <xdr:twoCellAnchor>
    <xdr:from>
      <xdr:col>2</xdr:col>
      <xdr:colOff>609599</xdr:colOff>
      <xdr:row>19</xdr:row>
      <xdr:rowOff>190499</xdr:rowOff>
    </xdr:from>
    <xdr:to>
      <xdr:col>4</xdr:col>
      <xdr:colOff>542925</xdr:colOff>
      <xdr:row>27</xdr:row>
      <xdr:rowOff>47625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C530898-CCF4-4D22-ADFE-E8260EC69148}"/>
            </a:ext>
          </a:extLst>
        </xdr:cNvPr>
        <xdr:cNvSpPr txBox="1"/>
      </xdr:nvSpPr>
      <xdr:spPr>
        <a:xfrm>
          <a:off x="3743324" y="3857624"/>
          <a:ext cx="3381376" cy="1381126"/>
        </a:xfrm>
        <a:prstGeom prst="rect">
          <a:avLst/>
        </a:prstGeom>
        <a:solidFill>
          <a:schemeClr val="lt1"/>
        </a:solidFill>
        <a:ln w="190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/>
            <a:t>P</a:t>
          </a:r>
          <a:r>
            <a:rPr lang="en-US" sz="1100" b="1" i="1" baseline="0"/>
            <a:t> value 2 tail &lt; alpha (0.05) --&gt; </a:t>
          </a:r>
        </a:p>
        <a:p>
          <a:pPr algn="ctr"/>
          <a:r>
            <a:rPr lang="en-US" sz="1100" b="0" i="1" baseline="0"/>
            <a:t>we reject the null hypothesis Ho (mean of actual stored calories = mean of max accepted stored calories)</a:t>
          </a:r>
        </a:p>
        <a:p>
          <a:pPr algn="ctr"/>
          <a:endParaRPr lang="en-US" sz="1100" b="0" i="1" baseline="0"/>
        </a:p>
        <a:p>
          <a:pPr algn="ctr"/>
          <a:r>
            <a:rPr lang="en-US" sz="1100" b="1" i="1" baseline="0"/>
            <a:t>P value 1 tail &lt; alpha (0.05) </a:t>
          </a:r>
          <a:r>
            <a:rPr lang="en-US" sz="1100" b="0" i="1" baseline="0"/>
            <a:t>--&gt;</a:t>
          </a:r>
        </a:p>
        <a:p>
          <a:pPr algn="ctr"/>
          <a:r>
            <a:rPr lang="en-US" sz="1100" b="0" i="1" baseline="0"/>
            <a:t>we reject the null hypotheses Ho ( mean of actual stored calories &lt;= mean of max accepted stored calories)</a:t>
          </a:r>
        </a:p>
        <a:p>
          <a:pPr algn="ctr"/>
          <a:endParaRPr lang="en-US" sz="1100" b="0" i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368264</xdr:colOff>
      <xdr:row>35</xdr:row>
      <xdr:rowOff>124239</xdr:rowOff>
    </xdr:from>
    <xdr:to>
      <xdr:col>12</xdr:col>
      <xdr:colOff>731630</xdr:colOff>
      <xdr:row>70</xdr:row>
      <xdr:rowOff>124239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C0429C-F772-CD83-798E-470771A517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368264</xdr:colOff>
      <xdr:row>37</xdr:row>
      <xdr:rowOff>124239</xdr:rowOff>
    </xdr:from>
    <xdr:to>
      <xdr:col>14</xdr:col>
      <xdr:colOff>731630</xdr:colOff>
      <xdr:row>72</xdr:row>
      <xdr:rowOff>124239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91F10D-BEE9-4992-A99F-DADB1745E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47625</xdr:rowOff>
    </xdr:from>
    <xdr:to>
      <xdr:col>3</xdr:col>
      <xdr:colOff>1323975</xdr:colOff>
      <xdr:row>1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23470BA-0AC0-9BBD-B679-6054D1FAD236}"/>
            </a:ext>
          </a:extLst>
        </xdr:cNvPr>
        <xdr:cNvSpPr txBox="1"/>
      </xdr:nvSpPr>
      <xdr:spPr>
        <a:xfrm>
          <a:off x="38100" y="47625"/>
          <a:ext cx="3505200" cy="2762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Optimization</a:t>
          </a:r>
          <a:r>
            <a:rPr lang="en-US" sz="1100" baseline="0"/>
            <a:t> of forecast methods with Excel Solver</a:t>
          </a:r>
          <a:endParaRPr lang="en-US" sz="1100"/>
        </a:p>
      </xdr:txBody>
    </xdr:sp>
    <xdr:clientData/>
  </xdr:twoCellAnchor>
  <xdr:twoCellAnchor>
    <xdr:from>
      <xdr:col>1</xdr:col>
      <xdr:colOff>0</xdr:colOff>
      <xdr:row>76</xdr:row>
      <xdr:rowOff>0</xdr:rowOff>
    </xdr:from>
    <xdr:to>
      <xdr:col>3</xdr:col>
      <xdr:colOff>1889125</xdr:colOff>
      <xdr:row>77</xdr:row>
      <xdr:rowOff>85725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AC9BD28-3E9C-4875-9E77-7A89D8755816}"/>
            </a:ext>
          </a:extLst>
        </xdr:cNvPr>
        <xdr:cNvSpPr txBox="1"/>
      </xdr:nvSpPr>
      <xdr:spPr>
        <a:xfrm>
          <a:off x="603250" y="14478000"/>
          <a:ext cx="3492500" cy="276225"/>
        </a:xfrm>
        <a:prstGeom prst="rect">
          <a:avLst/>
        </a:prstGeom>
        <a:solidFill>
          <a:sysClr val="window" lastClr="FFFFFF"/>
        </a:solidFill>
        <a:ln w="38100" cmpd="sng">
          <a:solidFill>
            <a:srgbClr val="00B050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Best option for MA range is 1 (minimum avg MSE)</a:t>
          </a:r>
        </a:p>
      </xdr:txBody>
    </xdr:sp>
    <xdr:clientData/>
  </xdr:twoCellAnchor>
  <xdr:twoCellAnchor>
    <xdr:from>
      <xdr:col>3</xdr:col>
      <xdr:colOff>2143124</xdr:colOff>
      <xdr:row>76</xdr:row>
      <xdr:rowOff>1</xdr:rowOff>
    </xdr:from>
    <xdr:to>
      <xdr:col>5</xdr:col>
      <xdr:colOff>1365249</xdr:colOff>
      <xdr:row>77</xdr:row>
      <xdr:rowOff>79375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EDA884F-4D4C-467A-9620-9FE06AED8124}"/>
            </a:ext>
          </a:extLst>
        </xdr:cNvPr>
        <xdr:cNvSpPr txBox="1"/>
      </xdr:nvSpPr>
      <xdr:spPr>
        <a:xfrm>
          <a:off x="4349749" y="14478001"/>
          <a:ext cx="4937125" cy="269874"/>
        </a:xfrm>
        <a:prstGeom prst="rect">
          <a:avLst/>
        </a:prstGeom>
        <a:solidFill>
          <a:sysClr val="window" lastClr="FFFFFF"/>
        </a:solidFill>
        <a:ln w="38100" cmpd="sng">
          <a:solidFill>
            <a:srgbClr val="0070C0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Best option for WMA range and alpha are 2 and 1 ,respectively (minimum avg MSE)</a:t>
          </a:r>
        </a:p>
      </xdr:txBody>
    </xdr:sp>
    <xdr:clientData/>
  </xdr:twoCellAnchor>
  <xdr:twoCellAnchor>
    <xdr:from>
      <xdr:col>5</xdr:col>
      <xdr:colOff>1666875</xdr:colOff>
      <xdr:row>75</xdr:row>
      <xdr:rowOff>174625</xdr:rowOff>
    </xdr:from>
    <xdr:to>
      <xdr:col>10</xdr:col>
      <xdr:colOff>508000</xdr:colOff>
      <xdr:row>77</xdr:row>
      <xdr:rowOff>63499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C80CC73D-8380-4686-B885-44F9624DF082}"/>
            </a:ext>
          </a:extLst>
        </xdr:cNvPr>
        <xdr:cNvSpPr txBox="1"/>
      </xdr:nvSpPr>
      <xdr:spPr>
        <a:xfrm>
          <a:off x="9588500" y="14462125"/>
          <a:ext cx="4937125" cy="269874"/>
        </a:xfrm>
        <a:prstGeom prst="rect">
          <a:avLst/>
        </a:prstGeom>
        <a:solidFill>
          <a:sysClr val="window" lastClr="FFFFFF"/>
        </a:solidFill>
        <a:ln w="38100" cmpd="sng">
          <a:solidFill>
            <a:srgbClr val="FF00FF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Best option for ES alpha IS 1 (minimum avg MSE)</a:t>
          </a:r>
        </a:p>
      </xdr:txBody>
    </xdr:sp>
    <xdr:clientData/>
  </xdr:twoCellAnchor>
  <xdr:twoCellAnchor>
    <xdr:from>
      <xdr:col>1</xdr:col>
      <xdr:colOff>0</xdr:colOff>
      <xdr:row>78</xdr:row>
      <xdr:rowOff>127000</xdr:rowOff>
    </xdr:from>
    <xdr:to>
      <xdr:col>3</xdr:col>
      <xdr:colOff>1889125</xdr:colOff>
      <xdr:row>82</xdr:row>
      <xdr:rowOff>158749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9CE92DE-E93B-4F82-9DBA-1E45316CAC44}"/>
            </a:ext>
          </a:extLst>
        </xdr:cNvPr>
        <xdr:cNvSpPr txBox="1"/>
      </xdr:nvSpPr>
      <xdr:spPr>
        <a:xfrm>
          <a:off x="603250" y="14986000"/>
          <a:ext cx="3492500" cy="793749"/>
        </a:xfrm>
        <a:prstGeom prst="rect">
          <a:avLst/>
        </a:prstGeom>
        <a:solidFill>
          <a:sysClr val="window" lastClr="FFFFFF"/>
        </a:solidFill>
        <a:ln w="38100" cmpd="sng">
          <a:solidFill>
            <a:srgbClr val="00B050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Contraints: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MA range &lt;= Upper limit (7 days)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MA range &gt;= 0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MA range is integer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2159000</xdr:colOff>
      <xdr:row>78</xdr:row>
      <xdr:rowOff>142874</xdr:rowOff>
    </xdr:from>
    <xdr:to>
      <xdr:col>5</xdr:col>
      <xdr:colOff>1365250</xdr:colOff>
      <xdr:row>83</xdr:row>
      <xdr:rowOff>158750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F8A3FB5-5518-4CFD-8621-78E678DB9DD3}"/>
            </a:ext>
          </a:extLst>
        </xdr:cNvPr>
        <xdr:cNvSpPr txBox="1"/>
      </xdr:nvSpPr>
      <xdr:spPr>
        <a:xfrm>
          <a:off x="4365625" y="15001874"/>
          <a:ext cx="4921250" cy="968376"/>
        </a:xfrm>
        <a:prstGeom prst="rect">
          <a:avLst/>
        </a:prstGeom>
        <a:solidFill>
          <a:sysClr val="window" lastClr="FFFFFF"/>
        </a:solidFill>
        <a:ln w="38100" cmpd="sng">
          <a:solidFill>
            <a:srgbClr val="0070C0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Contraints: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MA range &lt;= Upper limit (7 days)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MA range &gt;= 0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MA is integer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alpha &gt;=0  &amp; alpha &lt;=0 </a:t>
          </a:r>
        </a:p>
      </xdr:txBody>
    </xdr:sp>
    <xdr:clientData/>
  </xdr:twoCellAnchor>
  <xdr:twoCellAnchor>
    <xdr:from>
      <xdr:col>5</xdr:col>
      <xdr:colOff>1682750</xdr:colOff>
      <xdr:row>78</xdr:row>
      <xdr:rowOff>142875</xdr:rowOff>
    </xdr:from>
    <xdr:to>
      <xdr:col>10</xdr:col>
      <xdr:colOff>508000</xdr:colOff>
      <xdr:row>81</xdr:row>
      <xdr:rowOff>31751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16D9D740-82CF-42D3-A348-0F5AB70AD3DE}"/>
            </a:ext>
          </a:extLst>
        </xdr:cNvPr>
        <xdr:cNvSpPr txBox="1"/>
      </xdr:nvSpPr>
      <xdr:spPr>
        <a:xfrm>
          <a:off x="9604375" y="15001875"/>
          <a:ext cx="4921250" cy="460376"/>
        </a:xfrm>
        <a:prstGeom prst="rect">
          <a:avLst/>
        </a:prstGeom>
        <a:solidFill>
          <a:sysClr val="window" lastClr="FFFFFF"/>
        </a:solidFill>
        <a:ln w="38100" cmpd="sng">
          <a:solidFill>
            <a:srgbClr val="FF00FF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Contraints: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alpha &gt;=0  &amp;  alpha &lt;= 0  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22</xdr:row>
      <xdr:rowOff>161924</xdr:rowOff>
    </xdr:from>
    <xdr:to>
      <xdr:col>16</xdr:col>
      <xdr:colOff>561975</xdr:colOff>
      <xdr:row>28</xdr:row>
      <xdr:rowOff>180975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FD68A50-CCF2-26DE-AF0C-AB82F426FB85}"/>
            </a:ext>
          </a:extLst>
        </xdr:cNvPr>
        <xdr:cNvSpPr txBox="1"/>
      </xdr:nvSpPr>
      <xdr:spPr>
        <a:xfrm>
          <a:off x="8877300" y="4410074"/>
          <a:ext cx="6915150" cy="1162051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autoregression analysis explains the weight measurements</a:t>
          </a:r>
          <a:r>
            <a:rPr lang="en-US" sz="1100" baseline="0"/>
            <a:t> by 98.98% </a:t>
          </a:r>
          <a:endParaRPr lang="en-US" sz="1100"/>
        </a:p>
        <a:p>
          <a:endParaRPr lang="en-US" sz="1100"/>
        </a:p>
        <a:p>
          <a:r>
            <a:rPr lang="en-US" sz="1100"/>
            <a:t>The</a:t>
          </a:r>
          <a:r>
            <a:rPr lang="en-US" sz="1100" baseline="0"/>
            <a:t> P-values for the time-2 &amp; time-3 values is higher than 0.05 so they do not contribute greatly to the forecast</a:t>
          </a:r>
        </a:p>
        <a:p>
          <a:endParaRPr lang="en-US" sz="1100" baseline="0"/>
        </a:p>
        <a:p>
          <a:r>
            <a:rPr lang="en-US" sz="1100" baseline="0"/>
            <a:t>The regression equation we use is:</a:t>
          </a:r>
        </a:p>
        <a:p>
          <a:r>
            <a:rPr lang="en-US" sz="1100" baseline="0"/>
            <a:t>Weight(t) = 0.877942291*Weight(time-1) -0.006135579*Weight(time-2) + 0.14554828*Weight(time-3)-1.25435432</a:t>
          </a:r>
          <a:endParaRPr lang="en-US" sz="1100"/>
        </a:p>
      </xdr:txBody>
    </xdr:sp>
    <xdr:clientData/>
  </xdr:twoCellAnchor>
  <xdr:oneCellAnchor>
    <xdr:from>
      <xdr:col>9</xdr:col>
      <xdr:colOff>114300</xdr:colOff>
      <xdr:row>23</xdr:row>
      <xdr:rowOff>104775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218BBD6-F749-36AA-A069-732020B8311E}"/>
            </a:ext>
          </a:extLst>
        </xdr:cNvPr>
        <xdr:cNvSpPr txBox="1"/>
      </xdr:nvSpPr>
      <xdr:spPr>
        <a:xfrm>
          <a:off x="8982075" y="45434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447674</xdr:colOff>
      <xdr:row>34</xdr:row>
      <xdr:rowOff>104775</xdr:rowOff>
    </xdr:from>
    <xdr:to>
      <xdr:col>18</xdr:col>
      <xdr:colOff>152400</xdr:colOff>
      <xdr:row>61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3269E67-F426-E94A-D076-40A6E9A7A2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114300</xdr:colOff>
      <xdr:row>23</xdr:row>
      <xdr:rowOff>104775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74B3B79-274C-407F-B6BE-0615C98C7C9F}"/>
            </a:ext>
          </a:extLst>
        </xdr:cNvPr>
        <xdr:cNvSpPr txBox="1"/>
      </xdr:nvSpPr>
      <xdr:spPr>
        <a:xfrm>
          <a:off x="9067800" y="45434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10</xdr:col>
      <xdr:colOff>266700</xdr:colOff>
      <xdr:row>33</xdr:row>
      <xdr:rowOff>177800</xdr:rowOff>
    </xdr:from>
    <xdr:to>
      <xdr:col>14</xdr:col>
      <xdr:colOff>165100</xdr:colOff>
      <xdr:row>37</xdr:row>
      <xdr:rowOff>88900</xdr:rowOff>
    </xdr:to>
    <xdr:sp macro="[0]!forecast_10_day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F546A7C-F680-EE85-D002-3B8E86C67D07}"/>
            </a:ext>
          </a:extLst>
        </xdr:cNvPr>
        <xdr:cNvSpPr/>
      </xdr:nvSpPr>
      <xdr:spPr>
        <a:xfrm>
          <a:off x="9055100" y="6553200"/>
          <a:ext cx="2336800" cy="673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</a:t>
          </a:r>
          <a:r>
            <a:rPr lang="en-US" sz="1100" baseline="0"/>
            <a:t> button for fill 10 days forecast via time series autoregression</a:t>
          </a:r>
          <a:endParaRPr lang="en-US" sz="1100"/>
        </a:p>
      </xdr:txBody>
    </xdr:sp>
    <xdr:clientData/>
  </xdr:twoCellAnchor>
  <xdr:twoCellAnchor>
    <xdr:from>
      <xdr:col>0</xdr:col>
      <xdr:colOff>0</xdr:colOff>
      <xdr:row>131</xdr:row>
      <xdr:rowOff>177798</xdr:rowOff>
    </xdr:from>
    <xdr:to>
      <xdr:col>117</xdr:col>
      <xdr:colOff>175803</xdr:colOff>
      <xdr:row>229</xdr:row>
      <xdr:rowOff>77984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754775-225D-B041-8954-F21321AE2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194</xdr:row>
      <xdr:rowOff>165097</xdr:rowOff>
    </xdr:from>
    <xdr:to>
      <xdr:col>751</xdr:col>
      <xdr:colOff>520173</xdr:colOff>
      <xdr:row>678</xdr:row>
      <xdr:rowOff>119474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597D4ED-AB5A-55BB-5FD0-B606E32A92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235</xdr:row>
      <xdr:rowOff>190499</xdr:rowOff>
    </xdr:from>
    <xdr:to>
      <xdr:col>420</xdr:col>
      <xdr:colOff>405706</xdr:colOff>
      <xdr:row>490</xdr:row>
      <xdr:rowOff>74010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77F9C7C4-1A6F-5266-DE4C-7D5BD51D77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162</xdr:row>
      <xdr:rowOff>50800</xdr:rowOff>
    </xdr:from>
    <xdr:to>
      <xdr:col>117</xdr:col>
      <xdr:colOff>508910</xdr:colOff>
      <xdr:row>276</xdr:row>
      <xdr:rowOff>147405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6FC64D9-BCE8-7177-CCBA-4709663A0B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342900</xdr:colOff>
      <xdr:row>33</xdr:row>
      <xdr:rowOff>190500</xdr:rowOff>
    </xdr:from>
    <xdr:to>
      <xdr:col>18</xdr:col>
      <xdr:colOff>25400</xdr:colOff>
      <xdr:row>37</xdr:row>
      <xdr:rowOff>88900</xdr:rowOff>
    </xdr:to>
    <xdr:sp macro="[0]!plot_forecast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29CC3F85-54F9-7BFB-A708-65B1365B08EC}"/>
            </a:ext>
          </a:extLst>
        </xdr:cNvPr>
        <xdr:cNvSpPr/>
      </xdr:nvSpPr>
      <xdr:spPr>
        <a:xfrm>
          <a:off x="12801600" y="6578600"/>
          <a:ext cx="2120900" cy="7112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</a:t>
          </a:r>
          <a:r>
            <a:rPr lang="en-US" sz="1100" baseline="0"/>
            <a:t> button for plotting forecast with additional 10 days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314011</xdr:colOff>
      <xdr:row>41</xdr:row>
      <xdr:rowOff>10468</xdr:rowOff>
    </xdr:from>
    <xdr:to>
      <xdr:col>9</xdr:col>
      <xdr:colOff>31401</xdr:colOff>
      <xdr:row>47</xdr:row>
      <xdr:rowOff>10468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F21DAED-D9E7-23DF-AAFD-43C9FF9BD011}"/>
            </a:ext>
          </a:extLst>
        </xdr:cNvPr>
        <xdr:cNvSpPr txBox="1"/>
      </xdr:nvSpPr>
      <xdr:spPr>
        <a:xfrm>
          <a:off x="9975082" y="7756072"/>
          <a:ext cx="2731896" cy="1151374"/>
        </a:xfrm>
        <a:prstGeom prst="rect">
          <a:avLst/>
        </a:prstGeom>
        <a:solidFill>
          <a:schemeClr val="lt1"/>
        </a:solidFill>
        <a:ln w="381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Using forecast with auto</a:t>
          </a:r>
          <a:r>
            <a:rPr lang="en-US" sz="1100" baseline="0"/>
            <a:t> regression of only 1 day and forecast of 3-days moving mean, we find with optimization (Excel Solver) that alpha should be 0.98 so that the MSE is the least when we want to predict with the ARMA method.</a:t>
          </a:r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437931</xdr:colOff>
      <xdr:row>5</xdr:row>
      <xdr:rowOff>10948</xdr:rowOff>
    </xdr:from>
    <xdr:to>
      <xdr:col>15</xdr:col>
      <xdr:colOff>306552</xdr:colOff>
      <xdr:row>9</xdr:row>
      <xdr:rowOff>87586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FEDC4E7-D966-EBC0-6FA8-C89C75EF2378}"/>
            </a:ext>
          </a:extLst>
        </xdr:cNvPr>
        <xdr:cNvSpPr txBox="1"/>
      </xdr:nvSpPr>
      <xdr:spPr>
        <a:xfrm>
          <a:off x="14605000" y="974396"/>
          <a:ext cx="1390431" cy="832069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alpha</a:t>
          </a:r>
          <a:r>
            <a:rPr lang="en-US" sz="1100" baseline="0"/>
            <a:t> for ARMA was found by Excel Solver optimization tool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962.788943981483" createdVersion="8" refreshedVersion="8" minRefreshableVersion="3" recordCount="31" xr:uid="{4FAD8324-276C-4110-AA8B-09C058F291B7}">
  <cacheSource type="worksheet">
    <worksheetSource name="Table2"/>
  </cacheSource>
  <cacheFields count="59">
    <cacheField name="number of days" numFmtId="0">
      <sharedItems containsSemiMixedTypes="0" containsString="0" containsNumber="1" containsInteger="1" minValue="1" maxValue="33"/>
    </cacheField>
    <cacheField name="date" numFmtId="14">
      <sharedItems containsSemiMixedTypes="0" containsNonDate="0" containsDate="1" containsString="0" minDate="2020-01-23T00:00:00" maxDate="2023-02-01T00:00:00"/>
    </cacheField>
    <cacheField name="day" numFmtId="14">
      <sharedItems count="7">
        <s v="Sunday"/>
        <s v="Monday"/>
        <s v="Tuesday"/>
        <s v="Wednesday"/>
        <s v="Thursday"/>
        <s v="Friday"/>
        <s v="Saturday"/>
      </sharedItems>
    </cacheField>
    <cacheField name="breakfast 1" numFmtId="49">
      <sharedItems count="14">
        <s v="1a"/>
        <s v="1c"/>
        <s v="1b"/>
        <s v="13"/>
        <s v="6a"/>
        <s v="6b"/>
        <s v="2a"/>
        <s v="2b"/>
        <s v="3b"/>
        <s v="3a"/>
        <s v="11"/>
        <s v="8a"/>
        <s v="9"/>
        <s v="4"/>
      </sharedItems>
    </cacheField>
    <cacheField name="breakfast 2" numFmtId="49">
      <sharedItems count="14">
        <s v="2b"/>
        <s v="33b"/>
        <s v="10"/>
        <s v="2a"/>
        <s v="4"/>
        <s v="12"/>
        <s v="7"/>
        <s v="9"/>
        <s v="3b"/>
        <s v="5a"/>
        <s v="11"/>
        <s v="6a"/>
        <s v="5b"/>
        <s v="1a"/>
      </sharedItems>
    </cacheField>
    <cacheField name="breakfast 3" numFmtId="49">
      <sharedItems containsBlank="1"/>
    </cacheField>
    <cacheField name="breakfast 4" numFmtId="49">
      <sharedItems containsBlank="1"/>
    </cacheField>
    <cacheField name="breakfast 5" numFmtId="49">
      <sharedItems containsBlank="1"/>
    </cacheField>
    <cacheField name="lunch 1" numFmtId="49">
      <sharedItems/>
    </cacheField>
    <cacheField name="lunch 2" numFmtId="49">
      <sharedItems/>
    </cacheField>
    <cacheField name="lunch 3" numFmtId="49">
      <sharedItems containsBlank="1"/>
    </cacheField>
    <cacheField name="lunch 4" numFmtId="49">
      <sharedItems containsBlank="1" containsMixedTypes="1" containsNumber="1" containsInteger="1" minValue="34" maxValue="34"/>
    </cacheField>
    <cacheField name="lunch 5" numFmtId="49">
      <sharedItems containsBlank="1"/>
    </cacheField>
    <cacheField name="afternoon snack 1" numFmtId="49">
      <sharedItems/>
    </cacheField>
    <cacheField name="afternoon snack 2" numFmtId="49">
      <sharedItems/>
    </cacheField>
    <cacheField name="afternoon snack 3" numFmtId="49">
      <sharedItems containsBlank="1"/>
    </cacheField>
    <cacheField name="afternoon snack 4" numFmtId="49">
      <sharedItems containsBlank="1"/>
    </cacheField>
    <cacheField name="afternoon snack 5" numFmtId="49">
      <sharedItems containsBlank="1"/>
    </cacheField>
    <cacheField name="dinner 1" numFmtId="49">
      <sharedItems/>
    </cacheField>
    <cacheField name="dinner 2" numFmtId="49">
      <sharedItems/>
    </cacheField>
    <cacheField name="dinner 3" numFmtId="49">
      <sharedItems containsBlank="1"/>
    </cacheField>
    <cacheField name="dinner 4" numFmtId="49">
      <sharedItems containsBlank="1"/>
    </cacheField>
    <cacheField name="dinner 5" numFmtId="49">
      <sharedItems containsBlank="1"/>
    </cacheField>
    <cacheField name="exercise 1" numFmtId="49">
      <sharedItems containsBlank="1"/>
    </cacheField>
    <cacheField name="exercise 2" numFmtId="49">
      <sharedItems containsBlank="1"/>
    </cacheField>
    <cacheField name="exercise 3" numFmtId="49">
      <sharedItems containsBlank="1"/>
    </cacheField>
    <cacheField name="exercise 4" numFmtId="49">
      <sharedItems containsBlank="1"/>
    </cacheField>
    <cacheField name="exercise 5" numFmtId="49">
      <sharedItems containsNonDate="0" containsString="0" containsBlank="1"/>
    </cacheField>
    <cacheField name="  " numFmtId="0">
      <sharedItems containsNonDate="0" containsString="0" containsBlank="1"/>
    </cacheField>
    <cacheField name="bf cal 1" numFmtId="0">
      <sharedItems containsMixedTypes="1" containsNumber="1" containsInteger="1" minValue="10" maxValue="358"/>
    </cacheField>
    <cacheField name="bf cal 2" numFmtId="0">
      <sharedItems containsMixedTypes="1" containsNumber="1" containsInteger="1" minValue="22" maxValue="360"/>
    </cacheField>
    <cacheField name="bf cal 3" numFmtId="0">
      <sharedItems containsMixedTypes="1" containsNumber="1" containsInteger="1" minValue="10" maxValue="360"/>
    </cacheField>
    <cacheField name="bf cal 4" numFmtId="0">
      <sharedItems containsMixedTypes="1" containsNumber="1" containsInteger="1" minValue="40" maxValue="358"/>
    </cacheField>
    <cacheField name="bf cal 5" numFmtId="0">
      <sharedItems containsMixedTypes="1" containsNumber="1" containsInteger="1" minValue="65" maxValue="65"/>
    </cacheField>
    <cacheField name="breakfast cal Total" numFmtId="0">
      <sharedItems containsSemiMixedTypes="0" containsString="0" containsNumber="1" containsInteger="1" minValue="200" maxValue="948" count="28">
        <n v="298"/>
        <n v="590"/>
        <n v="948"/>
        <n v="946"/>
        <n v="599"/>
        <n v="420"/>
        <n v="690"/>
        <n v="555"/>
        <n v="608"/>
        <n v="705"/>
        <n v="252"/>
        <n v="716"/>
        <n v="920"/>
        <n v="780"/>
        <n v="390"/>
        <n v="631"/>
        <n v="290"/>
        <n v="683"/>
        <n v="721"/>
        <n v="200"/>
        <n v="774"/>
        <n v="358"/>
        <n v="490"/>
        <n v="730"/>
        <n v="388"/>
        <n v="565"/>
        <n v="360"/>
        <n v="412"/>
      </sharedItems>
    </cacheField>
    <cacheField name="l cal 1" numFmtId="0">
      <sharedItems containsMixedTypes="1" containsNumber="1" containsInteger="1" minValue="182" maxValue="735"/>
    </cacheField>
    <cacheField name="l cal 2" numFmtId="0">
      <sharedItems containsMixedTypes="1" containsNumber="1" containsInteger="1" minValue="80" maxValue="460"/>
    </cacheField>
    <cacheField name="l cal 3" numFmtId="0">
      <sharedItems containsMixedTypes="1" containsNumber="1" containsInteger="1" minValue="75" maxValue="620"/>
    </cacheField>
    <cacheField name="l cal 4" numFmtId="0">
      <sharedItems containsMixedTypes="1" containsNumber="1" containsInteger="1" minValue="80" maxValue="380"/>
    </cacheField>
    <cacheField name="l cal 5" numFmtId="0">
      <sharedItems containsMixedTypes="1" containsNumber="1" containsInteger="1" minValue="80" maxValue="460"/>
    </cacheField>
    <cacheField name="lunch cal Total" numFmtId="0">
      <sharedItems containsSemiMixedTypes="0" containsString="0" containsNumber="1" containsInteger="1" minValue="260" maxValue="1810" count="30">
        <n v="895"/>
        <n v="1215"/>
        <n v="1562"/>
        <n v="1499"/>
        <n v="1399"/>
        <n v="1055"/>
        <n v="1043"/>
        <n v="1135"/>
        <n v="814"/>
        <n v="680"/>
        <n v="772"/>
        <n v="1348"/>
        <n v="1440"/>
        <n v="1418"/>
        <n v="1020"/>
        <n v="260"/>
        <n v="766"/>
        <n v="958"/>
        <n v="1325"/>
        <n v="1715"/>
        <n v="743"/>
        <n v="1673"/>
        <n v="874"/>
        <n v="1363"/>
        <n v="1392"/>
        <n v="1193"/>
        <n v="1810"/>
        <n v="1032"/>
        <n v="548"/>
        <n v="1337"/>
      </sharedItems>
    </cacheField>
    <cacheField name="af cal 1" numFmtId="0">
      <sharedItems containsSemiMixedTypes="0" containsString="0" containsNumber="1" containsInteger="1" minValue="44" maxValue="690"/>
    </cacheField>
    <cacheField name="af cal 2" numFmtId="0">
      <sharedItems containsSemiMixedTypes="0" containsString="0" containsNumber="1" containsInteger="1" minValue="45" maxValue="650"/>
    </cacheField>
    <cacheField name="af cal 3" numFmtId="0">
      <sharedItems containsMixedTypes="1" containsNumber="1" containsInteger="1" minValue="40" maxValue="690"/>
    </cacheField>
    <cacheField name="af cal 4" numFmtId="0">
      <sharedItems containsMixedTypes="1" containsNumber="1" containsInteger="1" minValue="45" maxValue="65"/>
    </cacheField>
    <cacheField name="af cal 5" numFmtId="0">
      <sharedItems containsMixedTypes="1" containsNumber="1" containsInteger="1" minValue="65" maxValue="690"/>
    </cacheField>
    <cacheField name="afternoon cal Total" numFmtId="0">
      <sharedItems containsSemiMixedTypes="0" containsString="0" containsNumber="1" containsInteger="1" minValue="207" maxValue="1255" count="27">
        <n v="475"/>
        <n v="930"/>
        <n v="773"/>
        <n v="655"/>
        <n v="757"/>
        <n v="518"/>
        <n v="505"/>
        <n v="803"/>
        <n v="535"/>
        <n v="207"/>
        <n v="954"/>
        <n v="985"/>
        <n v="715"/>
        <n v="515"/>
        <n v="1168"/>
        <n v="405"/>
        <n v="848"/>
        <n v="1255"/>
        <n v="895"/>
        <n v="1170"/>
        <n v="905"/>
        <n v="935"/>
        <n v="740"/>
        <n v="854"/>
        <n v="702"/>
        <n v="558"/>
        <n v="920"/>
      </sharedItems>
    </cacheField>
    <cacheField name="d cal 1" numFmtId="0">
      <sharedItems containsMixedTypes="1" containsNumber="1" containsInteger="1" minValue="230" maxValue="735"/>
    </cacheField>
    <cacheField name="d cal 2" numFmtId="0">
      <sharedItems containsSemiMixedTypes="0" containsString="0" containsNumber="1" containsInteger="1" minValue="80" maxValue="675"/>
    </cacheField>
    <cacheField name="d cal 3" numFmtId="0">
      <sharedItems containsMixedTypes="1" containsNumber="1" containsInteger="1" minValue="80" maxValue="695"/>
    </cacheField>
    <cacheField name="d cal 4" numFmtId="0">
      <sharedItems containsMixedTypes="1" containsNumber="1" containsInteger="1" minValue="65" maxValue="690"/>
    </cacheField>
    <cacheField name="d cal 5" numFmtId="0">
      <sharedItems containsMixedTypes="1" containsNumber="1" containsInteger="1" minValue="152" maxValue="331"/>
    </cacheField>
    <cacheField name="dinner cal Total" numFmtId="0">
      <sharedItems containsSemiMixedTypes="0" containsString="0" containsNumber="1" containsInteger="1" minValue="474" maxValue="1998" count="29">
        <n v="1087"/>
        <n v="828"/>
        <n v="1210"/>
        <n v="474"/>
        <n v="1403"/>
        <n v="703"/>
        <n v="1780"/>
        <n v="1420"/>
        <n v="1193"/>
        <n v="1572"/>
        <n v="612"/>
        <n v="1172"/>
        <n v="1207"/>
        <n v="1998"/>
        <n v="1178"/>
        <n v="1003"/>
        <n v="877"/>
        <n v="790"/>
        <n v="1612"/>
        <n v="715"/>
        <n v="1404"/>
        <n v="1393"/>
        <n v="584"/>
        <n v="1475"/>
        <n v="1292"/>
        <n v="1558"/>
        <n v="1643"/>
        <n v="1022"/>
        <n v="1061"/>
      </sharedItems>
    </cacheField>
    <cacheField name="ex cal 1" numFmtId="0">
      <sharedItems containsMixedTypes="1" containsNumber="1" containsInteger="1" minValue="170" maxValue="420"/>
    </cacheField>
    <cacheField name="ex cal 2" numFmtId="0">
      <sharedItems containsMixedTypes="1" containsNumber="1" containsInteger="1" minValue="170" maxValue="420"/>
    </cacheField>
    <cacheField name="ex cal 3" numFmtId="0">
      <sharedItems containsMixedTypes="1" containsNumber="1" containsInteger="1" minValue="350" maxValue="350"/>
    </cacheField>
    <cacheField name="ex cal 4" numFmtId="0">
      <sharedItems containsMixedTypes="1" containsNumber="1" containsInteger="1" minValue="350" maxValue="350"/>
    </cacheField>
    <cacheField name="ex cal 5" numFmtId="0">
      <sharedItems/>
    </cacheField>
    <cacheField name="exercise cal Total" numFmtId="0">
      <sharedItems containsSemiMixedTypes="0" containsString="0" containsNumber="1" containsInteger="1" minValue="0" maxValue="1220" count="11">
        <n v="170"/>
        <n v="520"/>
        <n v="590"/>
        <n v="1220"/>
        <n v="350"/>
        <n v="770"/>
        <n v="700"/>
        <n v="1120"/>
        <n v="420"/>
        <n v="0"/>
        <n v="9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962.905783796297" createdVersion="8" refreshedVersion="8" minRefreshableVersion="3" recordCount="31" xr:uid="{DC45F2F5-B457-4B2D-9BD4-0A21008C6B3C}">
  <cacheSource type="worksheet">
    <worksheetSource name="Table3"/>
  </cacheSource>
  <cacheFields count="10">
    <cacheField name="days" numFmtId="0">
      <sharedItems containsSemiMixedTypes="0" containsString="0" containsNumber="1" containsInteger="1" minValue="1" maxValue="31"/>
    </cacheField>
    <cacheField name="date" numFmtId="14">
      <sharedItems containsSemiMixedTypes="0" containsNonDate="0" containsDate="1" containsString="0" minDate="2023-01-01T00:00:00" maxDate="2023-02-01T00:00:00"/>
    </cacheField>
    <cacheField name="day" numFmtId="14">
      <sharedItems count="7">
        <s v="Sunday"/>
        <s v="Monday"/>
        <s v="Tuesday"/>
        <s v="Wednesday"/>
        <s v="Thursday"/>
        <s v="Friday"/>
        <s v="Saturday"/>
      </sharedItems>
    </cacheField>
    <cacheField name="Ingested calories " numFmtId="0">
      <sharedItems containsSemiMixedTypes="0" containsString="0" containsNumber="1" containsInteger="1" minValue="2343" maxValue="5303"/>
    </cacheField>
    <cacheField name="passive Expended calories " numFmtId="0">
      <sharedItems containsSemiMixedTypes="0" containsString="0" containsNumber="1" containsInteger="1" minValue="2200" maxValue="2200"/>
    </cacheField>
    <cacheField name="Total Expended calories (includes exercise)" numFmtId="0">
      <sharedItems containsSemiMixedTypes="0" containsString="0" containsNumber="1" containsInteger="1" minValue="2200" maxValue="3420"/>
    </cacheField>
    <cacheField name="Stored calories" numFmtId="0">
      <sharedItems containsSemiMixedTypes="0" containsString="0" containsNumber="1" containsInteger="1" minValue="-557" maxValue="2333"/>
    </cacheField>
    <cacheField name="Fat (kg)" numFmtId="0">
      <sharedItems containsSemiMixedTypes="0" containsString="0" containsNumber="1" minValue="16" maxValue="19.749546775405541"/>
    </cacheField>
    <cacheField name="Weight (kg)" numFmtId="0">
      <sharedItems containsSemiMixedTypes="0" containsString="0" containsNumber="1" minValue="80" maxValue="83.749546775405548"/>
    </cacheField>
    <cacheField name="Fat free mass (kg)" numFmtId="0">
      <sharedItems containsSemiMixedTypes="0" containsString="0" containsNumber="1" minValue="64" maxValue="64.0000000000000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n v="1"/>
    <d v="2023-01-01T00:00:00"/>
    <x v="0"/>
    <x v="0"/>
    <x v="0"/>
    <s v="6b"/>
    <m/>
    <m/>
    <s v="21a"/>
    <s v="33a"/>
    <s v="33a"/>
    <n v="34"/>
    <m/>
    <s v="39"/>
    <s v="7"/>
    <m/>
    <m/>
    <m/>
    <s v="24a"/>
    <s v="33a"/>
    <s v="36"/>
    <s v="17b"/>
    <m/>
    <s v="42"/>
    <m/>
    <m/>
    <m/>
    <m/>
    <m/>
    <n v="80"/>
    <n v="208"/>
    <n v="10"/>
    <s v=""/>
    <s v=""/>
    <x v="0"/>
    <n v="735"/>
    <n v="80"/>
    <n v="80"/>
    <s v=""/>
    <s v=""/>
    <x v="0"/>
    <n v="325"/>
    <n v="150"/>
    <s v=""/>
    <s v=""/>
    <s v=""/>
    <x v="0"/>
    <n v="695"/>
    <n v="80"/>
    <n v="152"/>
    <n v="160"/>
    <s v=""/>
    <x v="0"/>
    <n v="170"/>
    <s v=""/>
    <s v=""/>
    <s v=""/>
    <s v=""/>
    <x v="0"/>
  </r>
  <r>
    <n v="2"/>
    <d v="2023-01-02T00:00:00"/>
    <x v="1"/>
    <x v="1"/>
    <x v="1"/>
    <s v="33b"/>
    <s v="4"/>
    <m/>
    <s v="24a"/>
    <s v="2"/>
    <s v="38"/>
    <s v="33a"/>
    <s v="33a"/>
    <s v="37"/>
    <s v="20"/>
    <m/>
    <m/>
    <m/>
    <s v="26"/>
    <s v="28"/>
    <s v="39"/>
    <m/>
    <m/>
    <s v="42"/>
    <s v="43"/>
    <m/>
    <m/>
    <m/>
    <m/>
    <n v="250"/>
    <n v="170"/>
    <n v="170"/>
    <s v=""/>
    <s v=""/>
    <x v="1"/>
    <n v="695"/>
    <s v=""/>
    <n v="360"/>
    <n v="80"/>
    <n v="80"/>
    <x v="1"/>
    <n v="280"/>
    <n v="650"/>
    <s v=""/>
    <s v=""/>
    <s v=""/>
    <x v="1"/>
    <n v="260"/>
    <n v="243"/>
    <n v="325"/>
    <s v=""/>
    <s v=""/>
    <x v="1"/>
    <n v="170"/>
    <n v="350"/>
    <s v=""/>
    <s v=""/>
    <s v=""/>
    <x v="1"/>
  </r>
  <r>
    <n v="3"/>
    <d v="2023-01-03T00:00:00"/>
    <x v="2"/>
    <x v="2"/>
    <x v="1"/>
    <s v="33b"/>
    <s v="11"/>
    <m/>
    <s v="24a"/>
    <s v="36"/>
    <s v="33a"/>
    <s v="32a"/>
    <s v="12"/>
    <s v="11"/>
    <s v="12"/>
    <s v="17b"/>
    <m/>
    <m/>
    <s v="25a"/>
    <s v="34"/>
    <s v="33a"/>
    <s v="39"/>
    <s v="25a"/>
    <s v="42"/>
    <s v="44"/>
    <m/>
    <m/>
    <m/>
    <m/>
    <n v="250"/>
    <n v="170"/>
    <n v="170"/>
    <n v="358"/>
    <s v=""/>
    <x v="2"/>
    <n v="695"/>
    <n v="152"/>
    <n v="80"/>
    <n v="380"/>
    <n v="255"/>
    <x v="2"/>
    <n v="358"/>
    <n v="255"/>
    <n v="160"/>
    <s v=""/>
    <s v=""/>
    <x v="2"/>
    <n v="331"/>
    <n v="143"/>
    <n v="80"/>
    <n v="325"/>
    <n v="331"/>
    <x v="2"/>
    <n v="170"/>
    <n v="420"/>
    <s v=""/>
    <s v=""/>
    <s v=""/>
    <x v="2"/>
  </r>
  <r>
    <n v="4"/>
    <d v="2023-01-04T00:00:00"/>
    <x v="3"/>
    <x v="2"/>
    <x v="2"/>
    <s v="3b"/>
    <s v="5b"/>
    <s v="18b"/>
    <s v="22a"/>
    <s v="25b"/>
    <s v="36"/>
    <s v="33a"/>
    <s v="14"/>
    <s v="17a"/>
    <s v="18b"/>
    <s v="10"/>
    <s v="18b"/>
    <s v="18b"/>
    <s v="22c"/>
    <s v="34"/>
    <s v="25a"/>
    <s v="35a"/>
    <s v="35a"/>
    <s v="42"/>
    <s v="45"/>
    <m/>
    <m/>
    <m/>
    <m/>
    <n v="250"/>
    <n v="360"/>
    <n v="227"/>
    <n v="44"/>
    <n v="65"/>
    <x v="3"/>
    <n v="675"/>
    <n v="460"/>
    <n v="152"/>
    <n v="80"/>
    <n v="132"/>
    <x v="3"/>
    <n v="100"/>
    <n v="65"/>
    <n v="360"/>
    <n v="65"/>
    <n v="65"/>
    <x v="3"/>
    <s v=""/>
    <n v="143"/>
    <n v="331"/>
    <s v=""/>
    <s v=""/>
    <x v="3"/>
    <n v="170"/>
    <n v="350"/>
    <s v=""/>
    <s v=""/>
    <s v=""/>
    <x v="1"/>
  </r>
  <r>
    <n v="5"/>
    <d v="2023-01-05T00:00:00"/>
    <x v="4"/>
    <x v="3"/>
    <x v="3"/>
    <s v="11"/>
    <m/>
    <m/>
    <s v="21b"/>
    <s v="33a"/>
    <s v="34"/>
    <s v="29b"/>
    <s v="29b"/>
    <s v="3a"/>
    <s v="10"/>
    <s v="12"/>
    <m/>
    <m/>
    <s v="26"/>
    <s v="29a"/>
    <s v="35"/>
    <s v="40"/>
    <m/>
    <s v="42"/>
    <s v="44"/>
    <m/>
    <m/>
    <m/>
    <m/>
    <n v="75"/>
    <n v="166"/>
    <n v="358"/>
    <s v=""/>
    <s v=""/>
    <x v="4"/>
    <n v="716"/>
    <n v="80"/>
    <n v="143"/>
    <n v="230"/>
    <n v="230"/>
    <x v="4"/>
    <n v="142"/>
    <n v="360"/>
    <n v="255"/>
    <s v=""/>
    <s v=""/>
    <x v="4"/>
    <n v="260"/>
    <n v="330"/>
    <n v="123"/>
    <n v="690"/>
    <s v=""/>
    <x v="4"/>
    <n v="170"/>
    <n v="420"/>
    <s v=""/>
    <s v=""/>
    <s v=""/>
    <x v="2"/>
  </r>
  <r>
    <n v="6"/>
    <d v="2023-01-06T00:00:00"/>
    <x v="5"/>
    <x v="1"/>
    <x v="4"/>
    <s v="33b"/>
    <m/>
    <m/>
    <s v="32b"/>
    <s v="33a"/>
    <s v="37"/>
    <m/>
    <m/>
    <s v="17b"/>
    <s v="11"/>
    <m/>
    <m/>
    <m/>
    <s v="23a"/>
    <s v="28"/>
    <m/>
    <m/>
    <m/>
    <s v="42"/>
    <s v="43"/>
    <m/>
    <m/>
    <m/>
    <m/>
    <n v="250"/>
    <s v=""/>
    <n v="170"/>
    <s v=""/>
    <s v=""/>
    <x v="5"/>
    <n v="695"/>
    <n v="80"/>
    <n v="280"/>
    <s v=""/>
    <s v=""/>
    <x v="5"/>
    <n v="160"/>
    <n v="358"/>
    <s v=""/>
    <s v=""/>
    <s v=""/>
    <x v="5"/>
    <n v="460"/>
    <n v="243"/>
    <s v=""/>
    <s v=""/>
    <s v=""/>
    <x v="5"/>
    <n v="170"/>
    <n v="350"/>
    <s v=""/>
    <s v=""/>
    <s v=""/>
    <x v="1"/>
  </r>
  <r>
    <n v="7"/>
    <d v="2023-01-07T00:00:00"/>
    <x v="6"/>
    <x v="4"/>
    <x v="5"/>
    <s v="9"/>
    <s v="16"/>
    <m/>
    <s v="25b"/>
    <s v="25b"/>
    <s v="35"/>
    <s v="30"/>
    <m/>
    <s v="8a"/>
    <s v="16"/>
    <s v="8c"/>
    <m/>
    <m/>
    <s v="32a"/>
    <s v="32a"/>
    <s v="29a"/>
    <s v="40"/>
    <m/>
    <s v="42"/>
    <s v="45"/>
    <m/>
    <m/>
    <m/>
    <m/>
    <n v="40"/>
    <n v="255"/>
    <n v="310"/>
    <n v="85"/>
    <s v=""/>
    <x v="6"/>
    <n v="460"/>
    <n v="460"/>
    <n v="123"/>
    <s v=""/>
    <s v=""/>
    <x v="6"/>
    <n v="150"/>
    <n v="85"/>
    <n v="270"/>
    <s v=""/>
    <s v=""/>
    <x v="6"/>
    <n v="380"/>
    <n v="380"/>
    <n v="330"/>
    <n v="690"/>
    <s v=""/>
    <x v="6"/>
    <n v="170"/>
    <n v="350"/>
    <s v=""/>
    <s v=""/>
    <s v=""/>
    <x v="1"/>
  </r>
  <r>
    <n v="8"/>
    <d v="2023-01-08T00:00:00"/>
    <x v="0"/>
    <x v="3"/>
    <x v="3"/>
    <s v="11"/>
    <m/>
    <m/>
    <s v="21b"/>
    <s v="33a"/>
    <s v="34"/>
    <s v="29b"/>
    <s v="29b"/>
    <s v="3a"/>
    <s v="10"/>
    <s v="12"/>
    <m/>
    <m/>
    <s v="26"/>
    <s v="29a"/>
    <s v="35"/>
    <s v="40"/>
    <m/>
    <s v="42"/>
    <s v="44"/>
    <m/>
    <m/>
    <m/>
    <m/>
    <n v="75"/>
    <n v="166"/>
    <n v="358"/>
    <s v=""/>
    <s v=""/>
    <x v="4"/>
    <n v="716"/>
    <n v="80"/>
    <n v="143"/>
    <n v="230"/>
    <n v="230"/>
    <x v="4"/>
    <n v="142"/>
    <n v="360"/>
    <n v="255"/>
    <s v=""/>
    <s v=""/>
    <x v="4"/>
    <n v="260"/>
    <n v="330"/>
    <n v="123"/>
    <n v="690"/>
    <s v=""/>
    <x v="4"/>
    <n v="170"/>
    <n v="420"/>
    <s v=""/>
    <s v=""/>
    <s v=""/>
    <x v="2"/>
  </r>
  <r>
    <n v="9"/>
    <d v="2023-01-09T00:00:00"/>
    <x v="1"/>
    <x v="1"/>
    <x v="4"/>
    <s v="33b"/>
    <m/>
    <m/>
    <s v="32b"/>
    <s v="33a"/>
    <s v="33a"/>
    <s v="37"/>
    <m/>
    <s v="17b"/>
    <s v="11"/>
    <m/>
    <m/>
    <m/>
    <s v="23a"/>
    <s v="28"/>
    <m/>
    <m/>
    <m/>
    <s v="42"/>
    <s v="43"/>
    <m/>
    <m/>
    <m/>
    <m/>
    <n v="250"/>
    <s v=""/>
    <n v="170"/>
    <s v=""/>
    <s v=""/>
    <x v="5"/>
    <n v="695"/>
    <n v="80"/>
    <n v="80"/>
    <n v="280"/>
    <s v=""/>
    <x v="7"/>
    <n v="160"/>
    <n v="358"/>
    <s v=""/>
    <s v=""/>
    <s v=""/>
    <x v="5"/>
    <n v="460"/>
    <n v="243"/>
    <s v=""/>
    <s v=""/>
    <s v=""/>
    <x v="5"/>
    <n v="170"/>
    <n v="350"/>
    <s v=""/>
    <s v=""/>
    <s v=""/>
    <x v="1"/>
  </r>
  <r>
    <n v="10"/>
    <d v="2023-01-10T00:00:00"/>
    <x v="2"/>
    <x v="5"/>
    <x v="6"/>
    <s v="9"/>
    <s v="16"/>
    <m/>
    <s v="25a"/>
    <s v="25a"/>
    <s v="36"/>
    <m/>
    <m/>
    <s v="8a"/>
    <s v="16"/>
    <s v="8c"/>
    <m/>
    <m/>
    <s v="32a"/>
    <s v="32a"/>
    <s v="29a"/>
    <s v="29a"/>
    <m/>
    <s v="42"/>
    <s v="45"/>
    <s v="41"/>
    <s v="41"/>
    <m/>
    <m/>
    <n v="10"/>
    <n v="150"/>
    <n v="310"/>
    <n v="85"/>
    <s v=""/>
    <x v="7"/>
    <n v="331"/>
    <n v="331"/>
    <n v="152"/>
    <s v=""/>
    <s v=""/>
    <x v="8"/>
    <n v="150"/>
    <n v="85"/>
    <n v="270"/>
    <s v=""/>
    <s v=""/>
    <x v="6"/>
    <n v="380"/>
    <n v="380"/>
    <n v="330"/>
    <n v="330"/>
    <s v=""/>
    <x v="7"/>
    <n v="170"/>
    <n v="350"/>
    <n v="350"/>
    <n v="350"/>
    <s v=""/>
    <x v="3"/>
  </r>
  <r>
    <n v="11"/>
    <d v="2023-01-11T00:00:00"/>
    <x v="3"/>
    <x v="6"/>
    <x v="7"/>
    <s v="14"/>
    <m/>
    <m/>
    <s v="31"/>
    <s v="35a"/>
    <s v="35a"/>
    <s v="26"/>
    <m/>
    <s v="10"/>
    <s v="11"/>
    <s v="16"/>
    <m/>
    <m/>
    <s v="32b"/>
    <s v="12"/>
    <s v="28"/>
    <s v="35a"/>
    <s v="35a"/>
    <s v="42"/>
    <m/>
    <m/>
    <m/>
    <m/>
    <m/>
    <n v="166"/>
    <n v="310"/>
    <n v="132"/>
    <s v=""/>
    <s v=""/>
    <x v="8"/>
    <n v="420"/>
    <s v=""/>
    <s v=""/>
    <n v="260"/>
    <s v=""/>
    <x v="9"/>
    <n v="360"/>
    <n v="358"/>
    <n v="85"/>
    <s v=""/>
    <s v=""/>
    <x v="7"/>
    <n v="695"/>
    <n v="255"/>
    <n v="243"/>
    <s v=""/>
    <s v=""/>
    <x v="8"/>
    <n v="170"/>
    <s v=""/>
    <s v=""/>
    <s v=""/>
    <s v=""/>
    <x v="0"/>
  </r>
  <r>
    <n v="12"/>
    <d v="2023-01-12T00:00:00"/>
    <x v="4"/>
    <x v="7"/>
    <x v="8"/>
    <s v="8c"/>
    <m/>
    <m/>
    <s v="30"/>
    <s v="33a"/>
    <s v="33a"/>
    <s v="36"/>
    <s v="25b"/>
    <s v="15"/>
    <s v="8c"/>
    <s v="18b"/>
    <s v="18b"/>
    <s v="18b"/>
    <s v="32a"/>
    <s v="32a"/>
    <s v="29a"/>
    <s v="29a"/>
    <s v="36"/>
    <s v="42"/>
    <s v="44"/>
    <s v="48"/>
    <m/>
    <m/>
    <m/>
    <n v="208"/>
    <n v="227"/>
    <n v="270"/>
    <s v=""/>
    <s v=""/>
    <x v="9"/>
    <s v=""/>
    <n v="80"/>
    <n v="80"/>
    <n v="152"/>
    <n v="460"/>
    <x v="10"/>
    <n v="70"/>
    <n v="270"/>
    <n v="65"/>
    <n v="65"/>
    <n v="65"/>
    <x v="8"/>
    <n v="380"/>
    <n v="380"/>
    <n v="330"/>
    <n v="330"/>
    <n v="152"/>
    <x v="9"/>
    <n v="170"/>
    <n v="420"/>
    <s v=""/>
    <s v=""/>
    <s v=""/>
    <x v="2"/>
  </r>
  <r>
    <n v="13"/>
    <d v="2023-01-13T00:00:00"/>
    <x v="5"/>
    <x v="0"/>
    <x v="9"/>
    <s v="8a"/>
    <m/>
    <m/>
    <s v="22a"/>
    <s v="32a"/>
    <s v="33b"/>
    <s v="35"/>
    <m/>
    <s v="13"/>
    <s v="14"/>
    <m/>
    <m/>
    <m/>
    <s v="29b"/>
    <s v="23b"/>
    <s v="36"/>
    <m/>
    <m/>
    <s v="42"/>
    <m/>
    <m/>
    <m/>
    <m/>
    <m/>
    <n v="80"/>
    <n v="22"/>
    <n v="150"/>
    <s v=""/>
    <s v=""/>
    <x v="10"/>
    <n v="675"/>
    <n v="380"/>
    <n v="170"/>
    <n v="123"/>
    <s v=""/>
    <x v="11"/>
    <n v="75"/>
    <n v="132"/>
    <s v=""/>
    <s v=""/>
    <s v=""/>
    <x v="9"/>
    <n v="230"/>
    <n v="230"/>
    <n v="152"/>
    <s v=""/>
    <s v=""/>
    <x v="10"/>
    <n v="170"/>
    <s v=""/>
    <s v=""/>
    <s v=""/>
    <s v=""/>
    <x v="0"/>
  </r>
  <r>
    <n v="14"/>
    <d v="2023-01-14T00:00:00"/>
    <x v="6"/>
    <x v="7"/>
    <x v="10"/>
    <s v="7"/>
    <m/>
    <m/>
    <s v="22b"/>
    <s v="29a"/>
    <s v="29a"/>
    <s v="33a"/>
    <s v="33a"/>
    <s v="40"/>
    <s v="14"/>
    <s v="14"/>
    <m/>
    <m/>
    <s v="24a"/>
    <s v="36"/>
    <s v="39"/>
    <m/>
    <m/>
    <s v="42"/>
    <m/>
    <m/>
    <m/>
    <m/>
    <m/>
    <n v="208"/>
    <n v="358"/>
    <n v="150"/>
    <s v=""/>
    <s v=""/>
    <x v="11"/>
    <n v="620"/>
    <n v="330"/>
    <n v="330"/>
    <n v="80"/>
    <n v="80"/>
    <x v="12"/>
    <n v="690"/>
    <n v="132"/>
    <n v="132"/>
    <s v=""/>
    <s v=""/>
    <x v="10"/>
    <n v="695"/>
    <n v="152"/>
    <n v="325"/>
    <s v=""/>
    <s v=""/>
    <x v="11"/>
    <n v="170"/>
    <s v=""/>
    <s v=""/>
    <s v=""/>
    <s v=""/>
    <x v="0"/>
  </r>
  <r>
    <n v="15"/>
    <d v="2023-01-15T00:00:00"/>
    <x v="0"/>
    <x v="8"/>
    <x v="11"/>
    <s v="8b"/>
    <s v="11"/>
    <m/>
    <s v="25b"/>
    <s v="25b"/>
    <s v="28"/>
    <s v="12"/>
    <m/>
    <s v="17b"/>
    <s v="18a"/>
    <s v="18a"/>
    <s v="18a"/>
    <s v="40"/>
    <s v="32b"/>
    <s v="36"/>
    <s v="10"/>
    <m/>
    <m/>
    <s v="45"/>
    <m/>
    <m/>
    <m/>
    <m/>
    <m/>
    <n v="227"/>
    <n v="40"/>
    <n v="295"/>
    <n v="358"/>
    <s v=""/>
    <x v="12"/>
    <n v="460"/>
    <n v="460"/>
    <n v="243"/>
    <n v="255"/>
    <s v=""/>
    <x v="13"/>
    <n v="160"/>
    <n v="45"/>
    <n v="45"/>
    <n v="45"/>
    <n v="690"/>
    <x v="11"/>
    <n v="695"/>
    <n v="152"/>
    <n v="360"/>
    <s v=""/>
    <s v=""/>
    <x v="12"/>
    <n v="350"/>
    <s v=""/>
    <s v=""/>
    <s v=""/>
    <s v=""/>
    <x v="4"/>
  </r>
  <r>
    <n v="16"/>
    <d v="2023-01-16T00:00:00"/>
    <x v="1"/>
    <x v="1"/>
    <x v="11"/>
    <s v="11"/>
    <s v="14"/>
    <m/>
    <s v="31"/>
    <s v="23"/>
    <s v="29a"/>
    <s v="8c"/>
    <m/>
    <s v="16"/>
    <s v="8c"/>
    <s v="10"/>
    <m/>
    <m/>
    <s v="21a"/>
    <s v="28"/>
    <s v="29a"/>
    <s v="40"/>
    <m/>
    <s v="45"/>
    <s v="44"/>
    <m/>
    <m/>
    <m/>
    <m/>
    <n v="250"/>
    <n v="40"/>
    <n v="358"/>
    <n v="132"/>
    <s v=""/>
    <x v="13"/>
    <n v="420"/>
    <s v=""/>
    <n v="330"/>
    <n v="270"/>
    <s v=""/>
    <x v="14"/>
    <n v="85"/>
    <n v="270"/>
    <n v="360"/>
    <s v=""/>
    <s v=""/>
    <x v="12"/>
    <n v="735"/>
    <n v="243"/>
    <n v="330"/>
    <n v="690"/>
    <s v=""/>
    <x v="13"/>
    <n v="350"/>
    <n v="420"/>
    <s v=""/>
    <s v=""/>
    <s v=""/>
    <x v="5"/>
  </r>
  <r>
    <n v="17"/>
    <d v="2023-01-17T00:00:00"/>
    <x v="2"/>
    <x v="0"/>
    <x v="7"/>
    <m/>
    <m/>
    <m/>
    <s v="30"/>
    <s v="26"/>
    <m/>
    <m/>
    <m/>
    <s v="12"/>
    <s v="18b"/>
    <s v="18b"/>
    <s v="18b"/>
    <s v="18b"/>
    <s v="25"/>
    <s v="35"/>
    <s v="24a"/>
    <s v="38"/>
    <m/>
    <s v="45"/>
    <s v="43"/>
    <m/>
    <m/>
    <m/>
    <m/>
    <n v="80"/>
    <n v="310"/>
    <s v=""/>
    <s v=""/>
    <s v=""/>
    <x v="14"/>
    <s v=""/>
    <n v="260"/>
    <s v=""/>
    <s v=""/>
    <s v=""/>
    <x v="15"/>
    <n v="255"/>
    <n v="65"/>
    <n v="65"/>
    <n v="65"/>
    <n v="65"/>
    <x v="13"/>
    <s v=""/>
    <n v="123"/>
    <n v="695"/>
    <n v="360"/>
    <s v=""/>
    <x v="14"/>
    <n v="350"/>
    <n v="350"/>
    <s v=""/>
    <s v=""/>
    <s v=""/>
    <x v="6"/>
  </r>
  <r>
    <n v="18"/>
    <d v="2023-01-18T00:00:00"/>
    <x v="3"/>
    <x v="9"/>
    <x v="12"/>
    <s v="10"/>
    <s v="16"/>
    <m/>
    <s v="30"/>
    <s v="33a"/>
    <s v="36"/>
    <s v="24b"/>
    <s v="37"/>
    <s v="17b"/>
    <s v="11"/>
    <s v="20"/>
    <m/>
    <m/>
    <s v="22c"/>
    <s v="34"/>
    <s v="33b"/>
    <s v="40"/>
    <m/>
    <s v="41"/>
    <s v="43"/>
    <m/>
    <m/>
    <m/>
    <m/>
    <n v="142"/>
    <n v="44"/>
    <n v="360"/>
    <n v="85"/>
    <s v=""/>
    <x v="15"/>
    <s v=""/>
    <n v="80"/>
    <n v="152"/>
    <n v="254"/>
    <n v="280"/>
    <x v="16"/>
    <n v="160"/>
    <n v="358"/>
    <n v="650"/>
    <s v=""/>
    <s v=""/>
    <x v="14"/>
    <s v=""/>
    <n v="143"/>
    <n v="170"/>
    <n v="690"/>
    <s v=""/>
    <x v="15"/>
    <n v="350"/>
    <n v="350"/>
    <s v=""/>
    <s v=""/>
    <s v=""/>
    <x v="6"/>
  </r>
  <r>
    <n v="19"/>
    <d v="2023-01-19T00:00:00"/>
    <x v="4"/>
    <x v="1"/>
    <x v="11"/>
    <m/>
    <m/>
    <m/>
    <s v="31"/>
    <s v="25a"/>
    <s v="13"/>
    <s v="14"/>
    <m/>
    <s v="12"/>
    <s v="7"/>
    <m/>
    <m/>
    <m/>
    <s v="32a"/>
    <s v="36"/>
    <s v="37"/>
    <s v="18b"/>
    <m/>
    <s v="42"/>
    <m/>
    <m/>
    <m/>
    <m/>
    <m/>
    <n v="250"/>
    <n v="40"/>
    <s v=""/>
    <s v=""/>
    <s v=""/>
    <x v="16"/>
    <n v="420"/>
    <n v="331"/>
    <n v="75"/>
    <n v="132"/>
    <s v=""/>
    <x v="17"/>
    <n v="255"/>
    <n v="150"/>
    <s v=""/>
    <s v=""/>
    <s v=""/>
    <x v="15"/>
    <n v="380"/>
    <n v="152"/>
    <n v="280"/>
    <n v="65"/>
    <s v=""/>
    <x v="16"/>
    <n v="170"/>
    <s v=""/>
    <s v=""/>
    <s v=""/>
    <s v=""/>
    <x v="0"/>
  </r>
  <r>
    <n v="20"/>
    <d v="2023-01-20T00:00:00"/>
    <x v="5"/>
    <x v="7"/>
    <x v="13"/>
    <s v="9"/>
    <s v="16"/>
    <m/>
    <s v="24a"/>
    <s v="35"/>
    <s v="37"/>
    <s v="3b"/>
    <m/>
    <s v="11"/>
    <s v="19"/>
    <s v="39"/>
    <m/>
    <m/>
    <s v="22c"/>
    <s v="29a"/>
    <s v="25b"/>
    <m/>
    <m/>
    <s v="44"/>
    <s v="45"/>
    <m/>
    <m/>
    <m/>
    <m/>
    <n v="208"/>
    <n v="80"/>
    <n v="310"/>
    <n v="85"/>
    <s v=""/>
    <x v="17"/>
    <n v="695"/>
    <n v="123"/>
    <n v="280"/>
    <n v="227"/>
    <s v=""/>
    <x v="18"/>
    <n v="358"/>
    <n v="165"/>
    <n v="325"/>
    <s v=""/>
    <s v=""/>
    <x v="16"/>
    <s v=""/>
    <n v="330"/>
    <n v="460"/>
    <s v=""/>
    <s v=""/>
    <x v="17"/>
    <n v="420"/>
    <n v="350"/>
    <s v=""/>
    <s v=""/>
    <s v=""/>
    <x v="5"/>
  </r>
  <r>
    <n v="21"/>
    <d v="2023-01-21T00:00:00"/>
    <x v="0"/>
    <x v="7"/>
    <x v="10"/>
    <s v="15"/>
    <s v="16"/>
    <m/>
    <s v="24a"/>
    <s v="29a"/>
    <s v="29a"/>
    <s v="38"/>
    <m/>
    <s v="8b"/>
    <s v="20"/>
    <s v="9"/>
    <m/>
    <m/>
    <s v="25b"/>
    <s v="22a"/>
    <s v="36"/>
    <s v="39"/>
    <m/>
    <s v="44"/>
    <s v="41"/>
    <m/>
    <m/>
    <m/>
    <m/>
    <n v="208"/>
    <n v="358"/>
    <n v="70"/>
    <n v="85"/>
    <s v=""/>
    <x v="18"/>
    <n v="695"/>
    <n v="330"/>
    <n v="330"/>
    <n v="360"/>
    <s v=""/>
    <x v="19"/>
    <n v="295"/>
    <n v="650"/>
    <n v="310"/>
    <s v=""/>
    <s v=""/>
    <x v="17"/>
    <n v="460"/>
    <n v="675"/>
    <n v="152"/>
    <n v="325"/>
    <s v=""/>
    <x v="18"/>
    <n v="420"/>
    <n v="350"/>
    <s v=""/>
    <s v=""/>
    <s v=""/>
    <x v="5"/>
  </r>
  <r>
    <n v="22"/>
    <d v="2023-01-22T00:00:00"/>
    <x v="6"/>
    <x v="0"/>
    <x v="11"/>
    <s v="33a"/>
    <m/>
    <m/>
    <s v="23a"/>
    <s v="35"/>
    <s v="17b"/>
    <m/>
    <m/>
    <s v="3b"/>
    <s v="9"/>
    <s v="11"/>
    <m/>
    <m/>
    <s v="32a"/>
    <s v="35"/>
    <s v="33a"/>
    <s v="14"/>
    <m/>
    <s v="42"/>
    <m/>
    <m/>
    <m/>
    <m/>
    <m/>
    <n v="80"/>
    <n v="40"/>
    <n v="80"/>
    <s v=""/>
    <s v=""/>
    <x v="19"/>
    <n v="460"/>
    <n v="123"/>
    <n v="160"/>
    <s v=""/>
    <s v=""/>
    <x v="20"/>
    <n v="227"/>
    <n v="310"/>
    <n v="358"/>
    <s v=""/>
    <s v=""/>
    <x v="18"/>
    <n v="380"/>
    <n v="123"/>
    <n v="80"/>
    <n v="132"/>
    <s v=""/>
    <x v="19"/>
    <n v="170"/>
    <s v=""/>
    <s v=""/>
    <s v=""/>
    <s v=""/>
    <x v="0"/>
  </r>
  <r>
    <n v="23"/>
    <d v="2020-01-23T00:00:00"/>
    <x v="1"/>
    <x v="1"/>
    <x v="10"/>
    <s v="2a"/>
    <m/>
    <m/>
    <s v="22b"/>
    <s v="25b"/>
    <s v="34"/>
    <s v="33b"/>
    <s v="37"/>
    <s v="20"/>
    <s v="17b"/>
    <s v="10"/>
    <m/>
    <m/>
    <s v="32b"/>
    <s v="36"/>
    <s v="29a"/>
    <s v="3b"/>
    <m/>
    <s v="45"/>
    <s v="44"/>
    <s v="43"/>
    <m/>
    <m/>
    <m/>
    <n v="250"/>
    <n v="358"/>
    <n v="166"/>
    <s v=""/>
    <s v=""/>
    <x v="20"/>
    <n v="620"/>
    <n v="460"/>
    <n v="143"/>
    <n v="170"/>
    <n v="280"/>
    <x v="21"/>
    <n v="650"/>
    <n v="160"/>
    <n v="360"/>
    <s v=""/>
    <s v=""/>
    <x v="19"/>
    <n v="695"/>
    <n v="152"/>
    <n v="330"/>
    <n v="227"/>
    <s v=""/>
    <x v="20"/>
    <n v="350"/>
    <n v="420"/>
    <n v="350"/>
    <s v=""/>
    <s v=""/>
    <x v="7"/>
  </r>
  <r>
    <n v="24"/>
    <d v="2023-01-24T00:00:00"/>
    <x v="2"/>
    <x v="10"/>
    <x v="4"/>
    <m/>
    <m/>
    <m/>
    <s v="23a"/>
    <s v="33a"/>
    <s v="36"/>
    <s v="27"/>
    <m/>
    <s v="12"/>
    <s v="20"/>
    <m/>
    <m/>
    <m/>
    <s v="28"/>
    <s v="25b"/>
    <s v="29a"/>
    <s v="38"/>
    <m/>
    <s v="41"/>
    <m/>
    <m/>
    <m/>
    <m/>
    <m/>
    <n v="358"/>
    <s v=""/>
    <s v=""/>
    <s v=""/>
    <s v=""/>
    <x v="21"/>
    <n v="460"/>
    <n v="80"/>
    <n v="152"/>
    <n v="182"/>
    <s v=""/>
    <x v="22"/>
    <n v="255"/>
    <n v="650"/>
    <s v=""/>
    <s v=""/>
    <s v=""/>
    <x v="20"/>
    <n v="243"/>
    <n v="460"/>
    <n v="330"/>
    <n v="360"/>
    <s v=""/>
    <x v="21"/>
    <n v="350"/>
    <s v=""/>
    <s v=""/>
    <s v=""/>
    <s v=""/>
    <x v="4"/>
  </r>
  <r>
    <n v="25"/>
    <d v="2023-01-25T00:00:00"/>
    <x v="3"/>
    <x v="11"/>
    <x v="0"/>
    <s v="14"/>
    <m/>
    <m/>
    <s v="26"/>
    <s v="28"/>
    <s v="33b"/>
    <s v="29a"/>
    <s v="10"/>
    <s v="12"/>
    <s v="20"/>
    <m/>
    <m/>
    <m/>
    <s v="22c"/>
    <s v="24b"/>
    <s v="29a"/>
    <m/>
    <m/>
    <s v="44"/>
    <m/>
    <m/>
    <m/>
    <m/>
    <m/>
    <n v="150"/>
    <n v="208"/>
    <n v="132"/>
    <s v=""/>
    <s v=""/>
    <x v="22"/>
    <n v="260"/>
    <n v="243"/>
    <n v="170"/>
    <n v="330"/>
    <n v="360"/>
    <x v="23"/>
    <n v="255"/>
    <n v="650"/>
    <s v=""/>
    <s v=""/>
    <s v=""/>
    <x v="20"/>
    <s v=""/>
    <n v="254"/>
    <n v="330"/>
    <s v=""/>
    <s v=""/>
    <x v="22"/>
    <n v="420"/>
    <s v=""/>
    <s v=""/>
    <s v=""/>
    <s v=""/>
    <x v="8"/>
  </r>
  <r>
    <n v="26"/>
    <d v="2023-01-26T00:00:00"/>
    <x v="4"/>
    <x v="1"/>
    <x v="1"/>
    <s v="8c"/>
    <s v="6a"/>
    <m/>
    <s v="31"/>
    <s v="36"/>
    <s v="25b"/>
    <s v="10"/>
    <m/>
    <s v="16"/>
    <s v="17b"/>
    <s v="40"/>
    <m/>
    <m/>
    <s v="24a"/>
    <s v="29a"/>
    <s v="33b"/>
    <s v="37"/>
    <m/>
    <s v="42"/>
    <m/>
    <m/>
    <m/>
    <m/>
    <m/>
    <n v="250"/>
    <n v="170"/>
    <n v="270"/>
    <n v="40"/>
    <s v=""/>
    <x v="23"/>
    <n v="420"/>
    <n v="152"/>
    <n v="460"/>
    <n v="360"/>
    <s v=""/>
    <x v="24"/>
    <n v="85"/>
    <n v="160"/>
    <n v="690"/>
    <s v=""/>
    <s v=""/>
    <x v="21"/>
    <n v="695"/>
    <n v="330"/>
    <n v="170"/>
    <n v="280"/>
    <s v=""/>
    <x v="23"/>
    <n v="170"/>
    <s v=""/>
    <s v=""/>
    <s v=""/>
    <s v=""/>
    <x v="0"/>
  </r>
  <r>
    <n v="27"/>
    <d v="2023-01-27T00:00:00"/>
    <x v="5"/>
    <x v="0"/>
    <x v="3"/>
    <s v="3a"/>
    <m/>
    <m/>
    <s v="23a"/>
    <s v="34"/>
    <s v="29b"/>
    <s v="38"/>
    <m/>
    <s v="11"/>
    <s v="1c"/>
    <s v="14"/>
    <m/>
    <m/>
    <s v="21a"/>
    <s v="36"/>
    <s v="33a"/>
    <s v="39"/>
    <m/>
    <s v="45"/>
    <m/>
    <m/>
    <m/>
    <m/>
    <m/>
    <n v="80"/>
    <n v="166"/>
    <n v="142"/>
    <s v=""/>
    <s v=""/>
    <x v="24"/>
    <n v="460"/>
    <n v="143"/>
    <n v="230"/>
    <n v="360"/>
    <s v=""/>
    <x v="25"/>
    <n v="358"/>
    <n v="250"/>
    <n v="132"/>
    <s v=""/>
    <s v=""/>
    <x v="22"/>
    <n v="735"/>
    <n v="152"/>
    <n v="80"/>
    <n v="325"/>
    <s v=""/>
    <x v="24"/>
    <n v="350"/>
    <s v=""/>
    <s v=""/>
    <s v=""/>
    <s v=""/>
    <x v="4"/>
  </r>
  <r>
    <n v="30"/>
    <d v="2023-01-28T00:00:00"/>
    <x v="0"/>
    <x v="12"/>
    <x v="4"/>
    <s v="12"/>
    <m/>
    <m/>
    <s v="25b"/>
    <s v="25b"/>
    <s v="22b"/>
    <s v="8c"/>
    <m/>
    <s v="5b"/>
    <s v="17b"/>
    <s v="20"/>
    <m/>
    <m/>
    <s v="21b"/>
    <s v="36"/>
    <s v="40"/>
    <m/>
    <m/>
    <s v="44"/>
    <s v="42"/>
    <m/>
    <m/>
    <m/>
    <m/>
    <n v="310"/>
    <s v=""/>
    <n v="255"/>
    <s v=""/>
    <s v=""/>
    <x v="25"/>
    <n v="460"/>
    <n v="460"/>
    <n v="620"/>
    <n v="270"/>
    <s v=""/>
    <x v="26"/>
    <n v="44"/>
    <n v="160"/>
    <n v="650"/>
    <s v=""/>
    <s v=""/>
    <x v="23"/>
    <n v="716"/>
    <n v="152"/>
    <n v="690"/>
    <s v=""/>
    <s v=""/>
    <x v="25"/>
    <n v="420"/>
    <n v="170"/>
    <s v=""/>
    <s v=""/>
    <s v=""/>
    <x v="2"/>
  </r>
  <r>
    <n v="31"/>
    <d v="2023-01-29T00:00:00"/>
    <x v="1"/>
    <x v="13"/>
    <x v="2"/>
    <m/>
    <m/>
    <m/>
    <s v="27"/>
    <s v="31"/>
    <s v="29a"/>
    <s v="17a"/>
    <m/>
    <s v="19"/>
    <s v="9"/>
    <s v="3b"/>
    <m/>
    <m/>
    <s v="32a"/>
    <s v="28"/>
    <s v="29a"/>
    <s v="40"/>
    <m/>
    <m/>
    <m/>
    <m/>
    <m/>
    <m/>
    <m/>
    <s v=""/>
    <n v="360"/>
    <s v=""/>
    <s v=""/>
    <s v=""/>
    <x v="26"/>
    <n v="182"/>
    <n v="420"/>
    <n v="330"/>
    <n v="100"/>
    <s v=""/>
    <x v="27"/>
    <n v="165"/>
    <n v="310"/>
    <n v="227"/>
    <s v=""/>
    <s v=""/>
    <x v="24"/>
    <n v="380"/>
    <n v="243"/>
    <n v="330"/>
    <n v="690"/>
    <s v=""/>
    <x v="26"/>
    <s v=""/>
    <s v=""/>
    <s v=""/>
    <s v=""/>
    <s v=""/>
    <x v="9"/>
  </r>
  <r>
    <n v="32"/>
    <d v="2023-01-30T00:00:00"/>
    <x v="2"/>
    <x v="0"/>
    <x v="7"/>
    <s v="5a"/>
    <m/>
    <m/>
    <s v="30"/>
    <s v="27"/>
    <s v="35"/>
    <s v="28"/>
    <m/>
    <s v="17b"/>
    <s v="11"/>
    <s v="6a"/>
    <m/>
    <m/>
    <s v="25a"/>
    <s v="25a"/>
    <s v="33a"/>
    <s v="37"/>
    <m/>
    <s v="41"/>
    <m/>
    <m/>
    <m/>
    <m/>
    <m/>
    <n v="80"/>
    <n v="310"/>
    <n v="22"/>
    <s v=""/>
    <s v=""/>
    <x v="27"/>
    <s v=""/>
    <n v="182"/>
    <n v="123"/>
    <n v="243"/>
    <s v=""/>
    <x v="28"/>
    <n v="160"/>
    <n v="358"/>
    <n v="40"/>
    <s v=""/>
    <s v=""/>
    <x v="25"/>
    <n v="331"/>
    <n v="331"/>
    <n v="80"/>
    <n v="280"/>
    <s v=""/>
    <x v="27"/>
    <n v="350"/>
    <s v=""/>
    <s v=""/>
    <s v=""/>
    <s v=""/>
    <x v="4"/>
  </r>
  <r>
    <n v="33"/>
    <d v="2023-01-31T00:00:00"/>
    <x v="3"/>
    <x v="10"/>
    <x v="4"/>
    <s v="14"/>
    <m/>
    <m/>
    <s v="21a"/>
    <s v="36"/>
    <s v="33b"/>
    <s v="37"/>
    <m/>
    <s v="8c"/>
    <s v="20"/>
    <m/>
    <m/>
    <m/>
    <s v="32b"/>
    <s v="35"/>
    <s v="28"/>
    <m/>
    <m/>
    <s v="44"/>
    <s v="42"/>
    <s v="45"/>
    <m/>
    <m/>
    <m/>
    <n v="358"/>
    <s v=""/>
    <n v="132"/>
    <s v=""/>
    <s v=""/>
    <x v="22"/>
    <n v="735"/>
    <n v="152"/>
    <n v="170"/>
    <n v="280"/>
    <s v=""/>
    <x v="29"/>
    <n v="270"/>
    <n v="650"/>
    <s v=""/>
    <s v=""/>
    <s v=""/>
    <x v="26"/>
    <n v="695"/>
    <n v="123"/>
    <n v="243"/>
    <s v=""/>
    <s v=""/>
    <x v="28"/>
    <n v="420"/>
    <n v="170"/>
    <n v="350"/>
    <s v=""/>
    <s v=""/>
    <x v="1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n v="1"/>
    <d v="2023-01-01T00:00:00"/>
    <x v="0"/>
    <n v="2755"/>
    <n v="2200"/>
    <n v="2370"/>
    <n v="385"/>
    <n v="16"/>
    <n v="80"/>
    <n v="64"/>
  </r>
  <r>
    <n v="2"/>
    <d v="2023-01-02T00:00:00"/>
    <x v="1"/>
    <n v="3563"/>
    <n v="2200"/>
    <n v="2720"/>
    <n v="843"/>
    <n v="16.050577237353064"/>
    <n v="80.050577237353068"/>
    <n v="64"/>
  </r>
  <r>
    <n v="3"/>
    <d v="2023-01-03T00:00:00"/>
    <x v="2"/>
    <n v="4493"/>
    <n v="2200"/>
    <n v="2790"/>
    <n v="1703"/>
    <n v="16.161321681739121"/>
    <n v="80.161321681739125"/>
    <n v="64"/>
  </r>
  <r>
    <n v="4"/>
    <d v="2023-01-04T00:00:00"/>
    <x v="3"/>
    <n v="3574"/>
    <n v="2200"/>
    <n v="2720"/>
    <n v="854"/>
    <n v="16.385043851121633"/>
    <n v="80.385043851121637"/>
    <n v="64"/>
  </r>
  <r>
    <n v="5"/>
    <d v="2023-01-05T00:00:00"/>
    <x v="4"/>
    <n v="4158"/>
    <n v="2200"/>
    <n v="2790"/>
    <n v="1368"/>
    <n v="16.497233359432066"/>
    <n v="80.497233359432073"/>
    <n v="64"/>
  </r>
  <r>
    <n v="6"/>
    <d v="2023-01-06T00:00:00"/>
    <x v="5"/>
    <n v="2696"/>
    <n v="2200"/>
    <n v="2720"/>
    <n v="-24"/>
    <n v="16.676946763845027"/>
    <n v="80.676946763845038"/>
    <n v="64.000000000000014"/>
  </r>
  <r>
    <n v="7"/>
    <d v="2023-01-07T00:00:00"/>
    <x v="6"/>
    <n v="4018"/>
    <n v="2200"/>
    <n v="2720"/>
    <n v="1298"/>
    <n v="16.673793897100939"/>
    <n v="80.67379389710095"/>
    <n v="64.000000000000014"/>
  </r>
  <r>
    <n v="8"/>
    <d v="2023-01-08T00:00:00"/>
    <x v="0"/>
    <n v="4158"/>
    <n v="2200"/>
    <n v="2790"/>
    <n v="1368"/>
    <n v="16.84431144017698"/>
    <n v="80.844311440176995"/>
    <n v="64.000000000000014"/>
  </r>
  <r>
    <n v="9"/>
    <d v="2023-01-09T00:00:00"/>
    <x v="1"/>
    <n v="2776"/>
    <n v="2200"/>
    <n v="2720"/>
    <n v="56"/>
    <n v="17.024024844589942"/>
    <n v="81.02402484458996"/>
    <n v="64.000000000000014"/>
  </r>
  <r>
    <n v="10"/>
    <d v="2023-01-10T00:00:00"/>
    <x v="2"/>
    <n v="3294"/>
    <n v="2200"/>
    <n v="3420"/>
    <n v="-126"/>
    <n v="17.031381533659477"/>
    <n v="81.031381533659498"/>
    <n v="64.000000000000028"/>
  </r>
  <r>
    <n v="11"/>
    <d v="2023-01-11T00:00:00"/>
    <x v="3"/>
    <n v="3284"/>
    <n v="2200"/>
    <n v="2370"/>
    <n v="914"/>
    <n v="17.014828983253022"/>
    <n v="81.014828983253039"/>
    <n v="64.000000000000014"/>
  </r>
  <r>
    <n v="12"/>
    <d v="2023-01-12T00:00:00"/>
    <x v="4"/>
    <n v="3584"/>
    <n v="2200"/>
    <n v="2790"/>
    <n v="794"/>
    <n v="17.134900658423671"/>
    <n v="81.134900658423689"/>
    <n v="64.000000000000014"/>
  </r>
  <r>
    <n v="13"/>
    <d v="2023-01-13T00:00:00"/>
    <x v="5"/>
    <n v="2419"/>
    <n v="2200"/>
    <n v="2370"/>
    <n v="49"/>
    <n v="17.239207999873884"/>
    <n v="81.239207999873898"/>
    <n v="64.000000000000014"/>
  </r>
  <r>
    <n v="14"/>
    <d v="2023-01-14T00:00:00"/>
    <x v="6"/>
    <n v="4282"/>
    <n v="2200"/>
    <n v="2370"/>
    <n v="1912"/>
    <n v="17.245645102809728"/>
    <n v="81.245645102809746"/>
    <n v="64.000000000000014"/>
  </r>
  <r>
    <n v="15"/>
    <d v="2023-01-15T00:00:00"/>
    <x v="0"/>
    <n v="4530"/>
    <n v="2200"/>
    <n v="2550"/>
    <n v="1980"/>
    <n v="17.496823486755332"/>
    <n v="81.496823486755346"/>
    <n v="64.000000000000014"/>
  </r>
  <r>
    <n v="16"/>
    <d v="2023-01-16T00:00:00"/>
    <x v="1"/>
    <n v="4513"/>
    <n v="2200"/>
    <n v="2970"/>
    <n v="1543"/>
    <n v="17.756934993142515"/>
    <n v="81.756934993142522"/>
    <n v="64"/>
  </r>
  <r>
    <n v="17"/>
    <d v="2023-01-17T00:00:00"/>
    <x v="2"/>
    <n v="2343"/>
    <n v="2200"/>
    <n v="2900"/>
    <n v="-557"/>
    <n v="17.95963805089778"/>
    <n v="81.95963805089778"/>
    <n v="64"/>
  </r>
  <r>
    <n v="18"/>
    <d v="2023-01-18T00:00:00"/>
    <x v="3"/>
    <n v="3568"/>
    <n v="2200"/>
    <n v="2900"/>
    <n v="668"/>
    <n v="17.886465268545425"/>
    <n v="81.886465268545422"/>
    <n v="64"/>
  </r>
  <r>
    <n v="19"/>
    <d v="2023-01-19T00:00:00"/>
    <x v="4"/>
    <n v="2530"/>
    <n v="2200"/>
    <n v="2370"/>
    <n v="160"/>
    <n v="17.974220059589182"/>
    <n v="81.974220059589186"/>
    <n v="64"/>
  </r>
  <r>
    <n v="20"/>
    <d v="2023-01-20T00:00:00"/>
    <x v="5"/>
    <n v="3646"/>
    <n v="2200"/>
    <n v="2970"/>
    <n v="676"/>
    <n v="17.995239171216429"/>
    <n v="81.99523917121644"/>
    <n v="64.000000000000014"/>
  </r>
  <r>
    <n v="21"/>
    <d v="2023-01-21T00:00:00"/>
    <x v="6"/>
    <n v="5303"/>
    <n v="2200"/>
    <n v="2970"/>
    <n v="2333"/>
    <n v="18.084044917841549"/>
    <n v="82.084044917841567"/>
    <n v="64.000000000000014"/>
  </r>
  <r>
    <n v="22"/>
    <d v="2023-01-22T00:00:00"/>
    <x v="0"/>
    <n v="2553"/>
    <n v="2200"/>
    <n v="2370"/>
    <n v="183"/>
    <n v="18.390529839256345"/>
    <n v="82.390529839256359"/>
    <n v="64.000000000000014"/>
  </r>
  <r>
    <n v="23"/>
    <d v="2023-01-23T00:00:00"/>
    <x v="1"/>
    <n v="5021"/>
    <n v="2200"/>
    <n v="3320"/>
    <n v="1701"/>
    <n v="18.414570448180008"/>
    <n v="82.414570448180029"/>
    <n v="64.000000000000028"/>
  </r>
  <r>
    <n v="24"/>
    <d v="2023-01-24T00:00:00"/>
    <x v="2"/>
    <n v="3530"/>
    <n v="2200"/>
    <n v="2550"/>
    <n v="980"/>
    <n v="18.638029878667179"/>
    <n v="82.638029878667197"/>
    <n v="64.000000000000014"/>
  </r>
  <r>
    <n v="25"/>
    <d v="2023-01-25T00:00:00"/>
    <x v="3"/>
    <n v="3342"/>
    <n v="2200"/>
    <n v="2620"/>
    <n v="722"/>
    <n v="18.766771937384068"/>
    <n v="82.766771937384078"/>
    <n v="64.000000000000014"/>
  </r>
  <r>
    <n v="26"/>
    <d v="2023-01-26T00:00:00"/>
    <x v="4"/>
    <n v="4532"/>
    <n v="2200"/>
    <n v="2370"/>
    <n v="2162"/>
    <n v="18.861620678602019"/>
    <n v="82.861620678602037"/>
    <n v="64.000000000000014"/>
  </r>
  <r>
    <n v="27"/>
    <d v="2023-01-27T00:00:00"/>
    <x v="5"/>
    <n v="3613"/>
    <n v="2200"/>
    <n v="2550"/>
    <n v="1063"/>
    <n v="19.145641424465197"/>
    <n v="83.145641424465211"/>
    <n v="64.000000000000014"/>
  </r>
  <r>
    <n v="28"/>
    <d v="2023-01-28T00:00:00"/>
    <x v="6"/>
    <n v="4787"/>
    <n v="2200"/>
    <n v="2790"/>
    <n v="1997"/>
    <n v="19.285287147338721"/>
    <n v="83.285287147338735"/>
    <n v="64.000000000000014"/>
  </r>
  <r>
    <n v="29"/>
    <d v="2023-01-29T00:00:00"/>
    <x v="0"/>
    <n v="3737"/>
    <n v="2200"/>
    <n v="2200"/>
    <n v="1537"/>
    <n v="19.547631934336298"/>
    <n v="83.547631934336309"/>
    <n v="64.000000000000014"/>
  </r>
  <r>
    <n v="30"/>
    <d v="2023-01-30T00:00:00"/>
    <x v="1"/>
    <n v="2540"/>
    <n v="2200"/>
    <n v="2550"/>
    <n v="-10"/>
    <n v="19.749546775405541"/>
    <n v="83.749546775405548"/>
    <n v="64"/>
  </r>
  <r>
    <n v="31"/>
    <d v="2023-01-31T00:00:00"/>
    <x v="2"/>
    <n v="3808"/>
    <n v="2200"/>
    <n v="3140"/>
    <n v="668"/>
    <n v="19.748233080928838"/>
    <n v="83.748233080928841"/>
    <n v="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F95AA3-1E56-4D90-A730-FFB823AB9268}" name="PivotTable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1:D49" firstHeaderRow="0" firstDataRow="1" firstDataCol="1"/>
  <pivotFields count="10">
    <pivotField showAll="0"/>
    <pivotField numFmtId="14"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  <pivotField dataField="1" showAll="0"/>
    <pivotField dataField="1" showAll="0"/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Ingested calories " fld="3" subtotal="average" baseField="2" baseItem="0"/>
    <dataField name="Average of Total Expended calories (includes exercise)" fld="5" subtotal="average" baseField="2" baseItem="0"/>
    <dataField name="Average of Stored calories" fld="6" subtotal="average" baseField="2" baseItem="0"/>
  </dataFields>
  <chartFormats count="3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002619-EBB5-4489-A79A-83B53B15EA4C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F11" firstHeaderRow="0" firstDataRow="1" firstDataCol="1"/>
  <pivotFields count="59">
    <pivotField showAll="0"/>
    <pivotField numFmtId="14"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29">
        <item x="19"/>
        <item x="10"/>
        <item x="16"/>
        <item x="0"/>
        <item x="21"/>
        <item x="26"/>
        <item x="24"/>
        <item x="14"/>
        <item x="27"/>
        <item x="5"/>
        <item x="22"/>
        <item x="7"/>
        <item x="25"/>
        <item x="1"/>
        <item x="4"/>
        <item x="8"/>
        <item x="15"/>
        <item x="17"/>
        <item x="6"/>
        <item x="9"/>
        <item x="11"/>
        <item x="18"/>
        <item x="23"/>
        <item x="20"/>
        <item x="13"/>
        <item x="12"/>
        <item x="3"/>
        <item x="2"/>
        <item t="default"/>
      </items>
    </pivotField>
    <pivotField showAll="0"/>
    <pivotField showAll="0"/>
    <pivotField showAll="0"/>
    <pivotField showAll="0"/>
    <pivotField showAll="0"/>
    <pivotField dataField="1" showAll="0">
      <items count="31">
        <item x="15"/>
        <item x="28"/>
        <item x="9"/>
        <item x="20"/>
        <item x="16"/>
        <item x="10"/>
        <item x="8"/>
        <item x="22"/>
        <item x="0"/>
        <item x="17"/>
        <item x="14"/>
        <item x="27"/>
        <item x="6"/>
        <item x="5"/>
        <item x="7"/>
        <item x="25"/>
        <item x="1"/>
        <item x="18"/>
        <item x="29"/>
        <item x="11"/>
        <item x="23"/>
        <item x="24"/>
        <item x="4"/>
        <item x="13"/>
        <item x="12"/>
        <item x="3"/>
        <item x="2"/>
        <item x="21"/>
        <item x="19"/>
        <item x="2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>
      <items count="12">
        <item x="9"/>
        <item x="0"/>
        <item x="4"/>
        <item x="8"/>
        <item x="1"/>
        <item x="2"/>
        <item x="6"/>
        <item x="5"/>
        <item x="10"/>
        <item x="7"/>
        <item x="3"/>
        <item t="default"/>
      </items>
    </pivotField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breakfast cal Total" fld="34" subtotal="average" baseField="2" baseItem="0"/>
    <dataField name="Average of lunch cal Total" fld="40" subtotal="average" baseField="2" baseItem="0"/>
    <dataField name="Average of afternoon cal Total" fld="46" subtotal="average" baseField="2" baseItem="0"/>
    <dataField name="Average of dinner cal Total" fld="52" subtotal="average" baseField="2" baseItem="0"/>
    <dataField name="Average of exercise cal Total" fld="58" subtotal="average" baseField="2" baseItem="0"/>
  </dataFields>
  <formats count="19">
    <format dxfId="18">
      <pivotArea collapsedLevelsAreSubtotals="1" fieldPosition="0">
        <references count="2">
          <reference field="4294967294" count="1" selected="0">
            <x v="1"/>
          </reference>
          <reference field="2" count="1">
            <x v="0"/>
          </reference>
        </references>
      </pivotArea>
    </format>
    <format dxfId="17">
      <pivotArea collapsedLevelsAreSubtotals="1" fieldPosition="0">
        <references count="2">
          <reference field="4294967294" count="1" selected="0">
            <x v="1"/>
          </reference>
          <reference field="2" count="1">
            <x v="0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3"/>
          </reference>
          <reference field="2" count="1">
            <x v="0"/>
          </reference>
        </references>
      </pivotArea>
    </format>
    <format dxfId="15">
      <pivotArea collapsedLevelsAreSubtotals="1" fieldPosition="0">
        <references count="2">
          <reference field="4294967294" count="1" selected="0">
            <x v="3"/>
          </reference>
          <reference field="2" count="1">
            <x v="0"/>
          </reference>
        </references>
      </pivotArea>
    </format>
    <format dxfId="14">
      <pivotArea collapsedLevelsAreSubtotals="1" fieldPosition="0">
        <references count="2">
          <reference field="4294967294" count="1" selected="0">
            <x v="0"/>
          </reference>
          <reference field="2" count="1">
            <x v="3"/>
          </reference>
        </references>
      </pivotArea>
    </format>
    <format dxfId="13">
      <pivotArea collapsedLevelsAreSubtotals="1" fieldPosition="0">
        <references count="2">
          <reference field="4294967294" count="1" selected="0">
            <x v="0"/>
          </reference>
          <reference field="2" count="1">
            <x v="3"/>
          </reference>
        </references>
      </pivotArea>
    </format>
    <format dxfId="12">
      <pivotArea collapsedLevelsAreSubtotals="1" fieldPosition="0">
        <references count="2">
          <reference field="4294967294" count="1" selected="0">
            <x v="2"/>
          </reference>
          <reference field="2" count="1">
            <x v="3"/>
          </reference>
        </references>
      </pivotArea>
    </format>
    <format dxfId="11">
      <pivotArea collapsedLevelsAreSubtotals="1" fieldPosition="0">
        <references count="2">
          <reference field="4294967294" count="1" selected="0">
            <x v="2"/>
          </reference>
          <reference field="2" count="1">
            <x v="3"/>
          </reference>
        </references>
      </pivotArea>
    </format>
    <format dxfId="10">
      <pivotArea collapsedLevelsAreSubtotals="1" fieldPosition="0">
        <references count="2">
          <reference field="4294967294" count="1" selected="0">
            <x v="0"/>
          </reference>
          <reference field="2" count="1">
            <x v="2"/>
          </reference>
        </references>
      </pivotArea>
    </format>
    <format dxfId="9">
      <pivotArea collapsedLevelsAreSubtotals="1" fieldPosition="0">
        <references count="2">
          <reference field="4294967294" count="1" selected="0">
            <x v="0"/>
          </reference>
          <reference field="2" count="1">
            <x v="2"/>
          </reference>
        </references>
      </pivotArea>
    </format>
    <format dxfId="8">
      <pivotArea collapsedLevelsAreSubtotals="1" fieldPosition="0">
        <references count="2">
          <reference field="4294967294" count="1" selected="0">
            <x v="0"/>
          </reference>
          <reference field="2" count="1">
            <x v="5"/>
          </reference>
        </references>
      </pivotArea>
    </format>
    <format dxfId="7">
      <pivotArea collapsedLevelsAreSubtotals="1" fieldPosition="0">
        <references count="2">
          <reference field="4294967294" count="1" selected="0">
            <x v="0"/>
          </reference>
          <reference field="2" count="1">
            <x v="5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4"/>
          </reference>
          <reference field="2" count="1">
            <x v="2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4"/>
          </reference>
          <reference field="2" count="1">
            <x v="2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4"/>
          </reference>
          <reference field="2" count="1">
            <x v="1"/>
          </reference>
        </references>
      </pivotArea>
    </format>
    <format dxfId="3">
      <pivotArea collapsedLevelsAreSubtotals="1" fieldPosition="0">
        <references count="2">
          <reference field="4294967294" count="1" selected="0">
            <x v="4"/>
          </reference>
          <reference field="2" count="1">
            <x v="1"/>
          </reference>
        </references>
      </pivotArea>
    </format>
    <format dxfId="2">
      <pivotArea collapsedLevelsAreSubtotals="1" fieldPosition="0">
        <references count="2">
          <reference field="4294967294" count="1" selected="0">
            <x v="4"/>
          </reference>
          <reference field="2" count="1">
            <x v="6"/>
          </reference>
        </references>
      </pivotArea>
    </format>
    <format dxfId="1">
      <pivotArea collapsedLevelsAreSubtotals="1" fieldPosition="0">
        <references count="2">
          <reference field="4294967294" count="1" selected="0">
            <x v="4"/>
          </reference>
          <reference field="2" count="1">
            <x v="6"/>
          </reference>
        </references>
      </pivotArea>
    </format>
    <format dxfId="0">
      <pivotArea outline="0" collapsedLevelsAreSubtotals="1" fieldPosition="0"/>
    </format>
  </format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2"/>
          </reference>
          <reference field="2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630F15-097A-4DDB-BF15-6F26C86E7933}" name="Table2" displayName="Table2" ref="A1:BG32" totalsRowShown="0" headerRowDxfId="54">
  <tableColumns count="59">
    <tableColumn id="1" xr3:uid="{8F70F283-7D7A-42A2-BEF8-36DECE26A47B}" name="number of days" dataDxfId="53"/>
    <tableColumn id="2" xr3:uid="{CAE73B16-3EC6-445D-BBBE-25246093585D}" name="date" dataDxfId="52"/>
    <tableColumn id="59" xr3:uid="{9C7BF43C-DCBC-44CF-A63A-224F172D1727}" name="day" dataDxfId="51"/>
    <tableColumn id="3" xr3:uid="{9902C3FE-C94E-4B0F-A618-AD6B3DD2DBB6}" name="breakfast 1" dataDxfId="50"/>
    <tableColumn id="4" xr3:uid="{EBEA0A3D-F733-4438-AC1B-928241598CBA}" name="breakfast 2" dataDxfId="49"/>
    <tableColumn id="5" xr3:uid="{5CD49E86-27B3-4D8D-98D9-B7037EA3089D}" name="breakfast 3" dataDxfId="48"/>
    <tableColumn id="6" xr3:uid="{2198FE55-8577-42EA-8AE0-FD0FAC62EBAB}" name="breakfast 4" dataDxfId="47"/>
    <tableColumn id="7" xr3:uid="{E2446BE7-84AD-42F9-8214-7AD75F07FE91}" name="breakfast 5" dataDxfId="46"/>
    <tableColumn id="8" xr3:uid="{40EFC9B3-48B7-4FFF-8C92-BCE19771B759}" name="lunch 1" dataDxfId="45"/>
    <tableColumn id="9" xr3:uid="{56AD1967-8A38-4B01-A6D7-171341784AA1}" name="lunch 2" dataDxfId="44"/>
    <tableColumn id="10" xr3:uid="{FF2B7808-335D-4583-AC25-58A5A8E07185}" name="lunch 3" dataDxfId="43"/>
    <tableColumn id="11" xr3:uid="{C79E21E1-2F38-4332-ADB0-3847EE4E5BD3}" name="lunch 4" dataDxfId="42"/>
    <tableColumn id="12" xr3:uid="{0FF95C0D-54FE-4651-AF6D-52C8ADBFD255}" name="lunch 5" dataDxfId="41"/>
    <tableColumn id="13" xr3:uid="{910CD5BC-AF84-41A7-844E-1805D5D771D5}" name="afternoon snack 1" dataDxfId="40"/>
    <tableColumn id="14" xr3:uid="{C0AE1F34-6498-489F-B9E4-FA84AB20BB78}" name="afternoon snack 2" dataDxfId="39"/>
    <tableColumn id="15" xr3:uid="{BF08B7AC-2EC2-412D-85C4-1FAC37E3E727}" name="afternoon snack 3" dataDxfId="38"/>
    <tableColumn id="16" xr3:uid="{B4EE5C0B-EEA6-43EB-AC79-D3D6AF03C518}" name="afternoon snack 4" dataDxfId="37"/>
    <tableColumn id="17" xr3:uid="{B647A360-FF3B-44A3-8AAC-2F5031CE22A5}" name="afternoon snack 5" dataDxfId="36"/>
    <tableColumn id="18" xr3:uid="{A223ED9A-6904-4A10-B71B-B4E7610010A3}" name="dinner 1" dataDxfId="35"/>
    <tableColumn id="19" xr3:uid="{2AAC9888-FB0A-4193-8BD7-4FB9DC78578A}" name="dinner 2" dataDxfId="34"/>
    <tableColumn id="20" xr3:uid="{8D16BC3E-C096-4482-83C8-C0C3EE3D1172}" name="dinner 3" dataDxfId="33"/>
    <tableColumn id="21" xr3:uid="{2BB1E389-0B44-4139-90F9-53A7771C51D8}" name="dinner 4" dataDxfId="32"/>
    <tableColumn id="22" xr3:uid="{98D33349-6F3F-43EC-A90A-0B0E1D8632A4}" name="dinner 5" dataDxfId="31"/>
    <tableColumn id="23" xr3:uid="{DDDD20F8-9E4C-4137-94DC-81FEA34D64B0}" name="exercise 1" dataDxfId="30"/>
    <tableColumn id="24" xr3:uid="{FE5BA4E5-E1C8-4C50-827E-4A429190AEE1}" name="exercise 2" dataDxfId="29"/>
    <tableColumn id="25" xr3:uid="{65B6D7EE-AF67-4272-81B1-39C0CB1FA6DB}" name="exercise 3" dataDxfId="28"/>
    <tableColumn id="26" xr3:uid="{3A3FFE59-4AC8-49CD-99E0-1F649C221808}" name="exercise 4" dataDxfId="27"/>
    <tableColumn id="27" xr3:uid="{0A46F2C7-57BB-4E7B-A891-705ECCADFECC}" name="exercise 5" dataDxfId="26"/>
    <tableColumn id="28" xr3:uid="{EA4DE360-A8B0-43E2-A837-8B188314AB32}" name="  " dataDxfId="25"/>
    <tableColumn id="29" xr3:uid="{19873461-2159-47EB-AB1C-05416966141F}" name="bf cal 1">
      <calculatedColumnFormula>IFERROR(VLOOKUP(D2,food,3,0),"")</calculatedColumnFormula>
    </tableColumn>
    <tableColumn id="30" xr3:uid="{A3DEDCE1-D7DB-4BC4-B1DF-E30EAD0F524A}" name="bf cal 2">
      <calculatedColumnFormula>IFERROR(VLOOKUP(E2,food,3,0),"")</calculatedColumnFormula>
    </tableColumn>
    <tableColumn id="31" xr3:uid="{87D6D06A-CAEE-44D3-9753-F1729B93B5D6}" name="bf cal 3">
      <calculatedColumnFormula>IFERROR(VLOOKUP(F2,food,3,0),"")</calculatedColumnFormula>
    </tableColumn>
    <tableColumn id="32" xr3:uid="{EC095A2E-BD9B-4A54-8372-8B309E003314}" name="bf cal 4">
      <calculatedColumnFormula>IFERROR(VLOOKUP(G2,food,3,0),"")</calculatedColumnFormula>
    </tableColumn>
    <tableColumn id="33" xr3:uid="{67A131EB-F77C-482D-A179-3166FAD7221D}" name="bf cal 5">
      <calculatedColumnFormula>IFERROR(VLOOKUP(H2,food,3,0),"")</calculatedColumnFormula>
    </tableColumn>
    <tableColumn id="34" xr3:uid="{31A3F818-8321-4A4B-BFAA-E252D8BF7BC2}" name="breakfast cal Total">
      <calculatedColumnFormula>SUM(AD2:AH2)</calculatedColumnFormula>
    </tableColumn>
    <tableColumn id="35" xr3:uid="{74CD5E0E-975D-4E36-AA5B-7C91506E513D}" name="l cal 1">
      <calculatedColumnFormula>IFERROR(VLOOKUP(I2,food,3,0),"")</calculatedColumnFormula>
    </tableColumn>
    <tableColumn id="36" xr3:uid="{05DF06A0-2184-4BCB-B9D5-72B70B36B106}" name="l cal 2">
      <calculatedColumnFormula>IFERROR(VLOOKUP(J2,food,3,0),"")</calculatedColumnFormula>
    </tableColumn>
    <tableColumn id="37" xr3:uid="{8FEE867B-A3D5-433C-8CD4-423A14898AFF}" name="l cal 3">
      <calculatedColumnFormula>IFERROR(VLOOKUP(K2,food,3,0),"")</calculatedColumnFormula>
    </tableColumn>
    <tableColumn id="38" xr3:uid="{FECE1E7C-C7FC-477A-95C8-EB41B8EEDD00}" name="l cal 4">
      <calculatedColumnFormula>IFERROR(VLOOKUP(L2,food,3,0),"")</calculatedColumnFormula>
    </tableColumn>
    <tableColumn id="39" xr3:uid="{0EE2B37A-CE8E-4E83-B684-2BAB5252EB95}" name="l cal 5">
      <calculatedColumnFormula>IFERROR(VLOOKUP(M2,food,3,0),"")</calculatedColumnFormula>
    </tableColumn>
    <tableColumn id="40" xr3:uid="{5CC6DE89-7C54-430E-8593-C4F8AF88A6E7}" name="lunch cal Total">
      <calculatedColumnFormula>SUM(AJ2:AN2)</calculatedColumnFormula>
    </tableColumn>
    <tableColumn id="41" xr3:uid="{35B64EAE-5147-4245-BD04-C5990B5C5335}" name="af cal 1">
      <calculatedColumnFormula>IFERROR(VLOOKUP(N2,food,3,0),"")</calculatedColumnFormula>
    </tableColumn>
    <tableColumn id="42" xr3:uid="{4F75060C-5252-488F-A696-EA1148F6802F}" name="af cal 2">
      <calculatedColumnFormula>IFERROR(VLOOKUP(O2,food,3,0),"")</calculatedColumnFormula>
    </tableColumn>
    <tableColumn id="43" xr3:uid="{AD65FE9B-F226-429B-9DDA-EC6A1CA643EC}" name="af cal 3">
      <calculatedColumnFormula>IFERROR(VLOOKUP(P2,food,3,0),"")</calculatedColumnFormula>
    </tableColumn>
    <tableColumn id="44" xr3:uid="{3E78CF97-7F3E-4043-B9CC-841C719D67AE}" name="af cal 4">
      <calculatedColumnFormula>IFERROR(VLOOKUP(Q2,food,3,0),"")</calculatedColumnFormula>
    </tableColumn>
    <tableColumn id="45" xr3:uid="{20D1F17A-0CC0-4CB6-9667-FE3931CF39BB}" name="af cal 5">
      <calculatedColumnFormula>IFERROR(VLOOKUP(R2,food,3,0),"")</calculatedColumnFormula>
    </tableColumn>
    <tableColumn id="46" xr3:uid="{A4B40028-F585-4077-9271-E8CD4E7ABDE3}" name="afternoon cal Total">
      <calculatedColumnFormula>SUM(AP2:AT2)</calculatedColumnFormula>
    </tableColumn>
    <tableColumn id="47" xr3:uid="{5900C841-9EAC-4D7A-8BEC-313DAE3863C1}" name="d cal 1">
      <calculatedColumnFormula>IFERROR(VLOOKUP(S2,food,3,0),"")</calculatedColumnFormula>
    </tableColumn>
    <tableColumn id="48" xr3:uid="{B6939F96-35BB-4864-BBAC-D66A422987B1}" name="d cal 2">
      <calculatedColumnFormula>IFERROR(VLOOKUP(T2,food,3,0),"")</calculatedColumnFormula>
    </tableColumn>
    <tableColumn id="49" xr3:uid="{57BBF7E3-EB77-49F0-AEBF-535C197677E8}" name="d cal 3">
      <calculatedColumnFormula>IFERROR(VLOOKUP(U2,food,3,0),"")</calculatedColumnFormula>
    </tableColumn>
    <tableColumn id="50" xr3:uid="{6BDBD966-2525-42DE-9065-3410199AA7EA}" name="d cal 4">
      <calculatedColumnFormula>IFERROR(VLOOKUP(V2,food,3,0),"")</calculatedColumnFormula>
    </tableColumn>
    <tableColumn id="51" xr3:uid="{34E881A7-9F69-4935-8CDB-123C89CE3CF6}" name="d cal 5">
      <calculatedColumnFormula>IFERROR(VLOOKUP(W2,food,3,0),"")</calculatedColumnFormula>
    </tableColumn>
    <tableColumn id="52" xr3:uid="{8C6E7947-4005-403D-8464-A37919BAF13F}" name="dinner cal Total">
      <calculatedColumnFormula>SUM(AV2:AZ2)</calculatedColumnFormula>
    </tableColumn>
    <tableColumn id="53" xr3:uid="{F8A6D6A3-F919-4108-83B4-EE204D544F51}" name="ex cal 1">
      <calculatedColumnFormula>IFERROR(VLOOKUP(X2,exercise,3,0),"")</calculatedColumnFormula>
    </tableColumn>
    <tableColumn id="54" xr3:uid="{F1E55F3C-EACA-4CDF-9FD9-3000DDB4A58B}" name="ex cal 2">
      <calculatedColumnFormula>IFERROR(VLOOKUP(Y2,exercise,3,0),"")</calculatedColumnFormula>
    </tableColumn>
    <tableColumn id="55" xr3:uid="{31569A7A-5514-4B85-B0A6-FF85F5A29454}" name="ex cal 3">
      <calculatedColumnFormula>IFERROR(VLOOKUP(Z2,exercise,3,0),"")</calculatedColumnFormula>
    </tableColumn>
    <tableColumn id="56" xr3:uid="{5F68AFB5-F7B4-47C2-88AC-45A11ACA0F43}" name="ex cal 4">
      <calculatedColumnFormula>IFERROR(VLOOKUP(AA2,exercise,3,0),"")</calculatedColumnFormula>
    </tableColumn>
    <tableColumn id="57" xr3:uid="{AFDB499F-7057-4816-9890-26556C7F5C56}" name="ex cal 5">
      <calculatedColumnFormula>IFERROR(VLOOKUP(AB2,exercise,3,0),"")</calculatedColumnFormula>
    </tableColumn>
    <tableColumn id="58" xr3:uid="{9968EB1F-F570-4562-B638-69228C2C01A9}" name="exercise cal Total">
      <calculatedColumnFormula>SUM(BB2:BF2)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B440F1-6E3A-44F6-AF98-E4DF4F840005}" name="Table3" displayName="Table3" ref="A1:J32" totalsRowShown="0" headerRowDxfId="24" headerRowBorderDxfId="23" tableBorderDxfId="22">
  <tableColumns count="10">
    <tableColumn id="8" xr3:uid="{4BA2E220-4D28-4234-9C85-C18B3BC4D97C}" name="days"/>
    <tableColumn id="9" xr3:uid="{5085A35D-9752-4B16-A18F-D4388336E110}" name="date"/>
    <tableColumn id="10" xr3:uid="{176EA2DB-D3AD-4BB8-8BDF-AB95A81A6163}" name="day" dataDxfId="21"/>
    <tableColumn id="1" xr3:uid="{1D1D18EB-6270-4C95-96D3-409D3267CFFE}" name="Ingested calories ">
      <calculatedColumnFormula>SUM(Table2[[#This Row],[breakfast cal Total]],Table2[[#This Row],[lunch cal Total]],Table2[[#This Row],[afternoon cal Total]],Table2[[#This Row],[dinner cal Total]])</calculatedColumnFormula>
    </tableColumn>
    <tableColumn id="2" xr3:uid="{B5687363-A4F6-4B29-B5FB-89DF69571733}" name="passive Expended calories "/>
    <tableColumn id="3" xr3:uid="{941ED26C-66A3-4F32-BE02-42F3380F2A6C}" name="Total Expended calories (includes exercise)">
      <calculatedColumnFormula>SUM(Table2[[#This Row],[exercise cal Total]],E2)</calculatedColumnFormula>
    </tableColumn>
    <tableColumn id="4" xr3:uid="{AD24AC6E-18DB-4692-B240-0F1708F21B96}" name="Stored calories" dataDxfId="20">
      <calculatedColumnFormula>D2-F2</calculatedColumnFormula>
    </tableColumn>
    <tableColumn id="5" xr3:uid="{7526E17F-F54E-41D2-A90A-5589EF2D5F8E}" name="Fat (kg)" dataDxfId="19">
      <calculatedColumnFormula>H1+(G1/7612.12)</calculatedColumnFormula>
    </tableColumn>
    <tableColumn id="6" xr3:uid="{20BC1AAA-139B-44C6-AC1F-FC8489EDC8C2}" name="Weight (kg)">
      <calculatedColumnFormula>I1+(H2-H1)</calculatedColumnFormula>
    </tableColumn>
    <tableColumn id="7" xr3:uid="{59C3E487-0BCC-4CA8-83F7-D2D2A71B22D3}" name="Fat free mass (kg)">
      <calculatedColumnFormula>I2-H2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1"/>
  <sheetViews>
    <sheetView tabSelected="1" workbookViewId="0">
      <pane ySplit="1" topLeftCell="A2" activePane="bottomLeft" state="frozen"/>
      <selection pane="bottomLeft" activeCell="N18" sqref="N18"/>
    </sheetView>
  </sheetViews>
  <sheetFormatPr defaultRowHeight="15" x14ac:dyDescent="0.25"/>
  <cols>
    <col min="2" max="2" width="11.140625" style="2" customWidth="1"/>
    <col min="3" max="3" width="30" customWidth="1"/>
    <col min="4" max="4" width="16.140625" customWidth="1"/>
    <col min="8" max="8" width="10.5703125" bestFit="1" customWidth="1"/>
    <col min="9" max="9" width="22.140625" bestFit="1" customWidth="1"/>
    <col min="10" max="10" width="14" customWidth="1"/>
  </cols>
  <sheetData>
    <row r="1" spans="1:10" x14ac:dyDescent="0.25">
      <c r="A1" s="3" t="s">
        <v>122</v>
      </c>
      <c r="B1" s="12" t="s">
        <v>0</v>
      </c>
      <c r="C1" s="4" t="s">
        <v>2</v>
      </c>
      <c r="D1" s="5" t="s">
        <v>4</v>
      </c>
      <c r="G1" s="9" t="s">
        <v>122</v>
      </c>
      <c r="H1" s="15" t="s">
        <v>123</v>
      </c>
      <c r="I1" s="10" t="s">
        <v>124</v>
      </c>
      <c r="J1" s="11" t="s">
        <v>4</v>
      </c>
    </row>
    <row r="2" spans="1:10" x14ac:dyDescent="0.25">
      <c r="A2" s="13">
        <v>1</v>
      </c>
      <c r="B2" s="45" t="s">
        <v>1</v>
      </c>
      <c r="C2" t="s">
        <v>3</v>
      </c>
      <c r="D2" s="43">
        <v>80</v>
      </c>
      <c r="G2" s="13">
        <v>1</v>
      </c>
      <c r="H2" s="45" t="s">
        <v>188</v>
      </c>
      <c r="I2" t="s">
        <v>125</v>
      </c>
      <c r="J2" s="43">
        <v>350</v>
      </c>
    </row>
    <row r="3" spans="1:10" x14ac:dyDescent="0.25">
      <c r="A3" s="13">
        <v>2</v>
      </c>
      <c r="B3" s="45" t="s">
        <v>5</v>
      </c>
      <c r="C3" t="s">
        <v>6</v>
      </c>
      <c r="D3" s="43">
        <v>250</v>
      </c>
      <c r="G3" s="13">
        <v>2</v>
      </c>
      <c r="H3" s="45" t="s">
        <v>187</v>
      </c>
      <c r="I3" t="s">
        <v>126</v>
      </c>
      <c r="J3" s="43">
        <v>170</v>
      </c>
    </row>
    <row r="4" spans="1:10" x14ac:dyDescent="0.25">
      <c r="A4" s="13">
        <v>3</v>
      </c>
      <c r="B4" s="45" t="s">
        <v>7</v>
      </c>
      <c r="C4" t="s">
        <v>8</v>
      </c>
      <c r="D4" s="43">
        <v>250</v>
      </c>
      <c r="G4" s="13">
        <v>3</v>
      </c>
      <c r="H4" s="45" t="s">
        <v>189</v>
      </c>
      <c r="I4" t="s">
        <v>127</v>
      </c>
      <c r="J4" s="43">
        <v>350</v>
      </c>
    </row>
    <row r="5" spans="1:10" x14ac:dyDescent="0.25">
      <c r="A5" s="13">
        <v>4</v>
      </c>
      <c r="B5" s="45" t="s">
        <v>9</v>
      </c>
      <c r="C5" t="s">
        <v>10</v>
      </c>
      <c r="D5" s="43">
        <v>150</v>
      </c>
      <c r="G5" s="13">
        <v>4</v>
      </c>
      <c r="H5" s="45" t="s">
        <v>191</v>
      </c>
      <c r="I5" t="s">
        <v>128</v>
      </c>
      <c r="J5" s="43">
        <v>420</v>
      </c>
    </row>
    <row r="6" spans="1:10" ht="15.75" thickBot="1" x14ac:dyDescent="0.3">
      <c r="A6" s="13">
        <v>5</v>
      </c>
      <c r="B6" s="45" t="s">
        <v>11</v>
      </c>
      <c r="C6" t="s">
        <v>12</v>
      </c>
      <c r="D6" s="43">
        <v>166</v>
      </c>
      <c r="G6" s="14">
        <v>5</v>
      </c>
      <c r="H6" s="46" t="s">
        <v>190</v>
      </c>
      <c r="I6" s="8" t="s">
        <v>129</v>
      </c>
      <c r="J6" s="44">
        <v>350</v>
      </c>
    </row>
    <row r="7" spans="1:10" x14ac:dyDescent="0.25">
      <c r="A7" s="13">
        <v>6</v>
      </c>
      <c r="B7" s="45" t="s">
        <v>13</v>
      </c>
      <c r="C7" t="s">
        <v>14</v>
      </c>
      <c r="D7" s="43">
        <v>208</v>
      </c>
    </row>
    <row r="8" spans="1:10" x14ac:dyDescent="0.25">
      <c r="A8" s="13">
        <v>7</v>
      </c>
      <c r="B8" s="45" t="s">
        <v>15</v>
      </c>
      <c r="C8" t="s">
        <v>16</v>
      </c>
      <c r="D8" s="43">
        <v>142</v>
      </c>
    </row>
    <row r="9" spans="1:10" x14ac:dyDescent="0.25">
      <c r="A9" s="13">
        <v>8</v>
      </c>
      <c r="B9" s="45" t="s">
        <v>17</v>
      </c>
      <c r="C9" t="s">
        <v>18</v>
      </c>
      <c r="D9" s="43">
        <v>227</v>
      </c>
    </row>
    <row r="10" spans="1:10" x14ac:dyDescent="0.25">
      <c r="A10" s="13">
        <v>9</v>
      </c>
      <c r="B10" s="45">
        <v>4</v>
      </c>
      <c r="C10" t="s">
        <v>19</v>
      </c>
      <c r="D10" s="43">
        <v>185</v>
      </c>
    </row>
    <row r="11" spans="1:10" x14ac:dyDescent="0.25">
      <c r="A11" s="13">
        <v>10</v>
      </c>
      <c r="B11" s="45" t="s">
        <v>20</v>
      </c>
      <c r="C11" t="s">
        <v>21</v>
      </c>
      <c r="D11" s="43">
        <v>22</v>
      </c>
    </row>
    <row r="12" spans="1:10" x14ac:dyDescent="0.25">
      <c r="A12" s="13">
        <v>11</v>
      </c>
      <c r="B12" s="45" t="s">
        <v>22</v>
      </c>
      <c r="C12" t="s">
        <v>23</v>
      </c>
      <c r="D12" s="43">
        <v>44</v>
      </c>
    </row>
    <row r="13" spans="1:10" x14ac:dyDescent="0.25">
      <c r="A13" s="13">
        <v>12</v>
      </c>
      <c r="B13" s="45" t="s">
        <v>24</v>
      </c>
      <c r="C13" t="s">
        <v>25</v>
      </c>
      <c r="D13" s="43">
        <v>40</v>
      </c>
    </row>
    <row r="14" spans="1:10" x14ac:dyDescent="0.25">
      <c r="A14" s="13">
        <v>13</v>
      </c>
      <c r="B14" s="45" t="s">
        <v>26</v>
      </c>
      <c r="C14" t="s">
        <v>27</v>
      </c>
      <c r="D14" s="43">
        <v>10</v>
      </c>
    </row>
    <row r="15" spans="1:10" x14ac:dyDescent="0.25">
      <c r="A15" s="13">
        <v>14</v>
      </c>
      <c r="B15" s="45" t="s">
        <v>28</v>
      </c>
      <c r="C15" t="s">
        <v>29</v>
      </c>
      <c r="D15" s="43">
        <v>150</v>
      </c>
    </row>
    <row r="16" spans="1:10" x14ac:dyDescent="0.25">
      <c r="A16" s="13">
        <v>15</v>
      </c>
      <c r="B16" s="45" t="s">
        <v>30</v>
      </c>
      <c r="C16" t="s">
        <v>31</v>
      </c>
      <c r="D16" s="43">
        <v>150</v>
      </c>
    </row>
    <row r="17" spans="1:4" x14ac:dyDescent="0.25">
      <c r="A17" s="13">
        <v>16</v>
      </c>
      <c r="B17" s="45" t="s">
        <v>32</v>
      </c>
      <c r="C17" t="s">
        <v>33</v>
      </c>
      <c r="D17" s="43">
        <v>295</v>
      </c>
    </row>
    <row r="18" spans="1:4" x14ac:dyDescent="0.25">
      <c r="A18" s="13">
        <v>17</v>
      </c>
      <c r="B18" s="45" t="s">
        <v>34</v>
      </c>
      <c r="C18" t="s">
        <v>35</v>
      </c>
      <c r="D18" s="43">
        <v>270</v>
      </c>
    </row>
    <row r="19" spans="1:4" x14ac:dyDescent="0.25">
      <c r="A19" s="13">
        <v>18</v>
      </c>
      <c r="B19" s="45" t="s">
        <v>36</v>
      </c>
      <c r="C19" t="s">
        <v>37</v>
      </c>
      <c r="D19" s="43">
        <v>310</v>
      </c>
    </row>
    <row r="20" spans="1:4" x14ac:dyDescent="0.25">
      <c r="A20" s="13">
        <v>19</v>
      </c>
      <c r="B20" s="45" t="s">
        <v>38</v>
      </c>
      <c r="C20" t="s">
        <v>39</v>
      </c>
      <c r="D20" s="43">
        <v>360</v>
      </c>
    </row>
    <row r="21" spans="1:4" x14ac:dyDescent="0.25">
      <c r="A21" s="13">
        <v>20</v>
      </c>
      <c r="B21" s="45" t="s">
        <v>40</v>
      </c>
      <c r="C21" t="s">
        <v>41</v>
      </c>
      <c r="D21" s="43">
        <v>358</v>
      </c>
    </row>
    <row r="22" spans="1:4" x14ac:dyDescent="0.25">
      <c r="A22" s="13">
        <v>21</v>
      </c>
      <c r="B22" s="45" t="s">
        <v>42</v>
      </c>
      <c r="C22" t="s">
        <v>43</v>
      </c>
      <c r="D22" s="43">
        <v>255</v>
      </c>
    </row>
    <row r="23" spans="1:4" x14ac:dyDescent="0.25">
      <c r="A23" s="13">
        <v>22</v>
      </c>
      <c r="B23" s="45" t="s">
        <v>44</v>
      </c>
      <c r="C23" t="s">
        <v>45</v>
      </c>
      <c r="D23" s="43">
        <v>75</v>
      </c>
    </row>
    <row r="24" spans="1:4" x14ac:dyDescent="0.25">
      <c r="A24" s="13">
        <v>23</v>
      </c>
      <c r="B24" s="45" t="s">
        <v>46</v>
      </c>
      <c r="C24" t="s">
        <v>47</v>
      </c>
      <c r="D24" s="43">
        <v>132</v>
      </c>
    </row>
    <row r="25" spans="1:4" x14ac:dyDescent="0.25">
      <c r="A25" s="13">
        <v>24</v>
      </c>
      <c r="B25" s="45" t="s">
        <v>48</v>
      </c>
      <c r="C25" t="s">
        <v>49</v>
      </c>
      <c r="D25" s="43">
        <v>70</v>
      </c>
    </row>
    <row r="26" spans="1:4" x14ac:dyDescent="0.25">
      <c r="A26" s="13">
        <v>25</v>
      </c>
      <c r="B26" s="45" t="s">
        <v>50</v>
      </c>
      <c r="C26" t="s">
        <v>51</v>
      </c>
      <c r="D26" s="43">
        <v>85</v>
      </c>
    </row>
    <row r="27" spans="1:4" x14ac:dyDescent="0.25">
      <c r="A27" s="13">
        <v>26</v>
      </c>
      <c r="B27" s="45" t="s">
        <v>52</v>
      </c>
      <c r="C27" t="s">
        <v>53</v>
      </c>
      <c r="D27" s="43">
        <v>100</v>
      </c>
    </row>
    <row r="28" spans="1:4" x14ac:dyDescent="0.25">
      <c r="A28" s="13">
        <v>27</v>
      </c>
      <c r="B28" s="45" t="s">
        <v>54</v>
      </c>
      <c r="C28" t="s">
        <v>55</v>
      </c>
      <c r="D28" s="43">
        <v>160</v>
      </c>
    </row>
    <row r="29" spans="1:4" x14ac:dyDescent="0.25">
      <c r="A29" s="13">
        <v>28</v>
      </c>
      <c r="B29" s="45" t="s">
        <v>56</v>
      </c>
      <c r="C29" t="s">
        <v>57</v>
      </c>
      <c r="D29" s="43">
        <v>45</v>
      </c>
    </row>
    <row r="30" spans="1:4" x14ac:dyDescent="0.25">
      <c r="A30" s="13">
        <v>29</v>
      </c>
      <c r="B30" s="45" t="s">
        <v>58</v>
      </c>
      <c r="C30" t="s">
        <v>59</v>
      </c>
      <c r="D30" s="43">
        <v>65</v>
      </c>
    </row>
    <row r="31" spans="1:4" x14ac:dyDescent="0.25">
      <c r="A31" s="13">
        <v>30</v>
      </c>
      <c r="B31" s="45" t="s">
        <v>60</v>
      </c>
      <c r="C31" t="s">
        <v>61</v>
      </c>
      <c r="D31" s="43">
        <v>165</v>
      </c>
    </row>
    <row r="32" spans="1:4" x14ac:dyDescent="0.25">
      <c r="A32" s="13">
        <v>31</v>
      </c>
      <c r="B32" s="45" t="s">
        <v>62</v>
      </c>
      <c r="C32" t="s">
        <v>63</v>
      </c>
      <c r="D32" s="43">
        <v>650</v>
      </c>
    </row>
    <row r="33" spans="1:4" x14ac:dyDescent="0.25">
      <c r="A33" s="13">
        <v>32</v>
      </c>
      <c r="B33" s="45" t="s">
        <v>64</v>
      </c>
      <c r="C33" t="s">
        <v>65</v>
      </c>
      <c r="D33" s="43">
        <v>735</v>
      </c>
    </row>
    <row r="34" spans="1:4" x14ac:dyDescent="0.25">
      <c r="A34" s="13">
        <v>33</v>
      </c>
      <c r="B34" s="45" t="s">
        <v>66</v>
      </c>
      <c r="C34" t="s">
        <v>67</v>
      </c>
      <c r="D34" s="43">
        <v>716</v>
      </c>
    </row>
    <row r="35" spans="1:4" x14ac:dyDescent="0.25">
      <c r="A35" s="13">
        <v>34</v>
      </c>
      <c r="B35" s="45" t="s">
        <v>68</v>
      </c>
      <c r="C35" t="s">
        <v>69</v>
      </c>
      <c r="D35" s="43">
        <v>675</v>
      </c>
    </row>
    <row r="36" spans="1:4" x14ac:dyDescent="0.25">
      <c r="A36" s="13">
        <v>35</v>
      </c>
      <c r="B36" s="45" t="s">
        <v>70</v>
      </c>
      <c r="C36" t="s">
        <v>71</v>
      </c>
      <c r="D36" s="43">
        <v>620</v>
      </c>
    </row>
    <row r="37" spans="1:4" x14ac:dyDescent="0.25">
      <c r="A37" s="13">
        <v>36</v>
      </c>
      <c r="B37" s="45" t="s">
        <v>72</v>
      </c>
      <c r="C37" t="s">
        <v>73</v>
      </c>
      <c r="D37" s="43">
        <v>820</v>
      </c>
    </row>
    <row r="38" spans="1:4" x14ac:dyDescent="0.25">
      <c r="A38" s="13">
        <v>37</v>
      </c>
      <c r="B38" s="45" t="s">
        <v>74</v>
      </c>
      <c r="C38" t="s">
        <v>75</v>
      </c>
      <c r="D38" s="43">
        <v>460</v>
      </c>
    </row>
    <row r="39" spans="1:4" x14ac:dyDescent="0.25">
      <c r="A39" s="13">
        <v>38</v>
      </c>
      <c r="B39" s="45" t="s">
        <v>76</v>
      </c>
      <c r="C39" t="s">
        <v>77</v>
      </c>
      <c r="D39" s="43">
        <v>230</v>
      </c>
    </row>
    <row r="40" spans="1:4" x14ac:dyDescent="0.25">
      <c r="A40" s="13">
        <v>39</v>
      </c>
      <c r="B40" s="45" t="s">
        <v>78</v>
      </c>
      <c r="C40" t="s">
        <v>79</v>
      </c>
      <c r="D40" s="43">
        <v>695</v>
      </c>
    </row>
    <row r="41" spans="1:4" x14ac:dyDescent="0.25">
      <c r="A41" s="13">
        <v>40</v>
      </c>
      <c r="B41" s="45" t="s">
        <v>80</v>
      </c>
      <c r="C41" t="s">
        <v>81</v>
      </c>
      <c r="D41" s="43">
        <v>254</v>
      </c>
    </row>
    <row r="42" spans="1:4" x14ac:dyDescent="0.25">
      <c r="A42" s="13">
        <v>41</v>
      </c>
      <c r="B42" s="45" t="s">
        <v>82</v>
      </c>
      <c r="C42" t="s">
        <v>83</v>
      </c>
      <c r="D42" s="43">
        <v>331</v>
      </c>
    </row>
    <row r="43" spans="1:4" x14ac:dyDescent="0.25">
      <c r="A43" s="13">
        <v>42</v>
      </c>
      <c r="B43" s="45" t="s">
        <v>84</v>
      </c>
      <c r="C43" t="s">
        <v>85</v>
      </c>
      <c r="D43" s="43">
        <v>460</v>
      </c>
    </row>
    <row r="44" spans="1:4" x14ac:dyDescent="0.25">
      <c r="A44" s="13">
        <v>43</v>
      </c>
      <c r="B44" s="45" t="s">
        <v>86</v>
      </c>
      <c r="C44" t="s">
        <v>87</v>
      </c>
      <c r="D44" s="43">
        <v>260</v>
      </c>
    </row>
    <row r="45" spans="1:4" x14ac:dyDescent="0.25">
      <c r="A45" s="13">
        <v>44</v>
      </c>
      <c r="B45" s="45" t="s">
        <v>88</v>
      </c>
      <c r="C45" t="s">
        <v>89</v>
      </c>
      <c r="D45" s="43">
        <v>182</v>
      </c>
    </row>
    <row r="46" spans="1:4" x14ac:dyDescent="0.25">
      <c r="A46" s="13">
        <v>45</v>
      </c>
      <c r="B46" s="45" t="s">
        <v>90</v>
      </c>
      <c r="C46" t="s">
        <v>91</v>
      </c>
      <c r="D46" s="43">
        <v>243</v>
      </c>
    </row>
    <row r="47" spans="1:4" x14ac:dyDescent="0.25">
      <c r="A47" s="13">
        <v>46</v>
      </c>
      <c r="B47" s="45" t="s">
        <v>92</v>
      </c>
      <c r="C47" t="s">
        <v>93</v>
      </c>
      <c r="D47" s="43">
        <v>330</v>
      </c>
    </row>
    <row r="48" spans="1:4" x14ac:dyDescent="0.25">
      <c r="A48" s="13">
        <v>47</v>
      </c>
      <c r="B48" s="45" t="s">
        <v>94</v>
      </c>
      <c r="C48" t="s">
        <v>95</v>
      </c>
      <c r="D48" s="43">
        <v>230</v>
      </c>
    </row>
    <row r="49" spans="1:4" x14ac:dyDescent="0.25">
      <c r="A49" s="13">
        <v>48</v>
      </c>
      <c r="B49" s="45" t="s">
        <v>96</v>
      </c>
      <c r="C49" t="s">
        <v>97</v>
      </c>
      <c r="D49" s="43">
        <v>422</v>
      </c>
    </row>
    <row r="50" spans="1:4" x14ac:dyDescent="0.25">
      <c r="A50" s="13">
        <v>49</v>
      </c>
      <c r="B50" s="45" t="s">
        <v>98</v>
      </c>
      <c r="C50" t="s">
        <v>99</v>
      </c>
      <c r="D50" s="43">
        <v>420</v>
      </c>
    </row>
    <row r="51" spans="1:4" x14ac:dyDescent="0.25">
      <c r="A51" s="13">
        <v>50</v>
      </c>
      <c r="B51" s="45" t="s">
        <v>100</v>
      </c>
      <c r="C51" t="s">
        <v>101</v>
      </c>
      <c r="D51" s="43">
        <v>380</v>
      </c>
    </row>
    <row r="52" spans="1:4" x14ac:dyDescent="0.25">
      <c r="A52" s="13">
        <v>51</v>
      </c>
      <c r="B52" s="45" t="s">
        <v>102</v>
      </c>
      <c r="C52" t="s">
        <v>103</v>
      </c>
      <c r="D52" s="43">
        <v>695</v>
      </c>
    </row>
    <row r="53" spans="1:4" x14ac:dyDescent="0.25">
      <c r="A53" s="13">
        <v>52</v>
      </c>
      <c r="B53" s="45" t="s">
        <v>105</v>
      </c>
      <c r="C53" t="s">
        <v>104</v>
      </c>
      <c r="D53" s="43">
        <v>80</v>
      </c>
    </row>
    <row r="54" spans="1:4" x14ac:dyDescent="0.25">
      <c r="A54" s="13">
        <v>53</v>
      </c>
      <c r="B54" s="45" t="s">
        <v>106</v>
      </c>
      <c r="C54" t="s">
        <v>107</v>
      </c>
      <c r="D54" s="43">
        <v>170</v>
      </c>
    </row>
    <row r="55" spans="1:4" x14ac:dyDescent="0.25">
      <c r="A55" s="13">
        <v>54</v>
      </c>
      <c r="B55" s="45" t="s">
        <v>108</v>
      </c>
      <c r="C55" t="s">
        <v>109</v>
      </c>
      <c r="D55" s="43">
        <v>143</v>
      </c>
    </row>
    <row r="56" spans="1:4" x14ac:dyDescent="0.25">
      <c r="A56" s="13">
        <v>55</v>
      </c>
      <c r="B56" s="45" t="s">
        <v>110</v>
      </c>
      <c r="C56" t="s">
        <v>111</v>
      </c>
      <c r="D56" s="43">
        <v>123</v>
      </c>
    </row>
    <row r="57" spans="1:4" x14ac:dyDescent="0.25">
      <c r="A57" s="13">
        <v>56</v>
      </c>
      <c r="B57" s="45" t="s">
        <v>112</v>
      </c>
      <c r="C57" t="s">
        <v>113</v>
      </c>
      <c r="D57" s="43">
        <v>152</v>
      </c>
    </row>
    <row r="58" spans="1:4" x14ac:dyDescent="0.25">
      <c r="A58" s="13">
        <v>57</v>
      </c>
      <c r="B58" s="45" t="s">
        <v>114</v>
      </c>
      <c r="C58" t="s">
        <v>115</v>
      </c>
      <c r="D58" s="43">
        <v>280</v>
      </c>
    </row>
    <row r="59" spans="1:4" x14ac:dyDescent="0.25">
      <c r="A59" s="13">
        <v>58</v>
      </c>
      <c r="B59" s="45" t="s">
        <v>116</v>
      </c>
      <c r="C59" t="s">
        <v>117</v>
      </c>
      <c r="D59" s="43">
        <v>360</v>
      </c>
    </row>
    <row r="60" spans="1:4" x14ac:dyDescent="0.25">
      <c r="A60" s="13">
        <v>59</v>
      </c>
      <c r="B60" s="45" t="s">
        <v>118</v>
      </c>
      <c r="C60" t="s">
        <v>119</v>
      </c>
      <c r="D60" s="43">
        <v>325</v>
      </c>
    </row>
    <row r="61" spans="1:4" ht="15.75" thickBot="1" x14ac:dyDescent="0.3">
      <c r="A61" s="14">
        <v>60</v>
      </c>
      <c r="B61" s="46" t="s">
        <v>120</v>
      </c>
      <c r="C61" s="8" t="s">
        <v>121</v>
      </c>
      <c r="D61" s="44">
        <v>690</v>
      </c>
    </row>
  </sheetData>
  <conditionalFormatting sqref="D2:D61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{97B27F50-C0BD-4348-B395-CB43CA4B6BFF}</x14:id>
        </ext>
      </extLst>
    </cfRule>
  </conditionalFormatting>
  <conditionalFormatting sqref="J2:J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{1419DA75-2276-492E-B3F6-AA9721CD4F47}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7B27F50-C0BD-4348-B395-CB43CA4B6BF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D2:D61</xm:sqref>
        </x14:conditionalFormatting>
        <x14:conditionalFormatting xmlns:xm="http://schemas.microsoft.com/office/excel/2006/main">
          <x14:cfRule type="dataBar" id="{1419DA75-2276-492E-B3F6-AA9721CD4F4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07E03-E1A2-46B0-AABA-A7CE9E7060A4}">
  <sheetPr codeName="Sheet2"/>
  <dimension ref="A1:BF3"/>
  <sheetViews>
    <sheetView workbookViewId="0">
      <selection activeCell="Q16" sqref="Q16"/>
    </sheetView>
  </sheetViews>
  <sheetFormatPr defaultRowHeight="15" x14ac:dyDescent="0.25"/>
  <cols>
    <col min="1" max="1" width="14.85546875" bestFit="1" customWidth="1"/>
    <col min="2" max="2" width="11.42578125" customWidth="1"/>
    <col min="3" max="7" width="10.7109375" style="2" bestFit="1" customWidth="1"/>
    <col min="8" max="12" width="9.140625" style="2"/>
    <col min="13" max="17" width="16.7109375" style="2" bestFit="1" customWidth="1"/>
    <col min="18" max="22" width="9.140625" style="2"/>
    <col min="23" max="23" width="9.85546875" style="2" bestFit="1" customWidth="1"/>
    <col min="24" max="27" width="9.85546875" style="2" customWidth="1"/>
    <col min="28" max="28" width="3.28515625" style="21" customWidth="1"/>
    <col min="34" max="34" width="10.5703125" bestFit="1" customWidth="1"/>
    <col min="46" max="46" width="10.42578125" bestFit="1" customWidth="1"/>
    <col min="52" max="52" width="10.7109375" bestFit="1" customWidth="1"/>
    <col min="58" max="58" width="10.85546875" bestFit="1" customWidth="1"/>
  </cols>
  <sheetData>
    <row r="1" spans="1:58" x14ac:dyDescent="0.25">
      <c r="A1" s="16" t="s">
        <v>130</v>
      </c>
      <c r="B1" s="16" t="s">
        <v>131</v>
      </c>
      <c r="C1" s="17" t="s">
        <v>132</v>
      </c>
      <c r="D1" s="17" t="s">
        <v>133</v>
      </c>
      <c r="E1" s="17" t="s">
        <v>134</v>
      </c>
      <c r="F1" s="17" t="s">
        <v>135</v>
      </c>
      <c r="G1" s="17" t="s">
        <v>136</v>
      </c>
      <c r="H1" s="18" t="s">
        <v>140</v>
      </c>
      <c r="I1" s="18" t="s">
        <v>141</v>
      </c>
      <c r="J1" s="18" t="s">
        <v>142</v>
      </c>
      <c r="K1" s="18" t="s">
        <v>143</v>
      </c>
      <c r="L1" s="18" t="s">
        <v>144</v>
      </c>
      <c r="M1" s="1" t="s">
        <v>145</v>
      </c>
      <c r="N1" s="1" t="s">
        <v>146</v>
      </c>
      <c r="O1" s="1" t="s">
        <v>147</v>
      </c>
      <c r="P1" s="1" t="s">
        <v>148</v>
      </c>
      <c r="Q1" s="1" t="s">
        <v>149</v>
      </c>
      <c r="R1" s="19" t="s">
        <v>150</v>
      </c>
      <c r="S1" s="19" t="s">
        <v>151</v>
      </c>
      <c r="T1" s="19" t="s">
        <v>152</v>
      </c>
      <c r="U1" s="19" t="s">
        <v>153</v>
      </c>
      <c r="V1" s="22" t="s">
        <v>154</v>
      </c>
      <c r="W1" s="28" t="s">
        <v>176</v>
      </c>
      <c r="X1" s="28" t="s">
        <v>177</v>
      </c>
      <c r="Y1" s="28" t="s">
        <v>178</v>
      </c>
      <c r="Z1" s="28" t="s">
        <v>179</v>
      </c>
      <c r="AA1" s="28" t="s">
        <v>180</v>
      </c>
      <c r="AB1" s="24"/>
      <c r="AC1" s="23" t="s">
        <v>137</v>
      </c>
      <c r="AD1" s="23" t="s">
        <v>138</v>
      </c>
      <c r="AE1" s="23" t="s">
        <v>139</v>
      </c>
      <c r="AF1" s="23" t="s">
        <v>155</v>
      </c>
      <c r="AG1" s="23" t="s">
        <v>156</v>
      </c>
      <c r="AH1" s="25" t="s">
        <v>157</v>
      </c>
      <c r="AI1" s="18" t="s">
        <v>158</v>
      </c>
      <c r="AJ1" s="18" t="s">
        <v>159</v>
      </c>
      <c r="AK1" s="18" t="s">
        <v>160</v>
      </c>
      <c r="AL1" s="18" t="s">
        <v>161</v>
      </c>
      <c r="AM1" s="18" t="s">
        <v>162</v>
      </c>
      <c r="AN1" s="26" t="s">
        <v>163</v>
      </c>
      <c r="AO1" s="1" t="s">
        <v>164</v>
      </c>
      <c r="AP1" s="1" t="s">
        <v>165</v>
      </c>
      <c r="AQ1" s="1" t="s">
        <v>166</v>
      </c>
      <c r="AR1" s="1" t="s">
        <v>167</v>
      </c>
      <c r="AS1" s="1" t="s">
        <v>168</v>
      </c>
      <c r="AT1" s="27" t="s">
        <v>169</v>
      </c>
      <c r="AU1" s="19" t="s">
        <v>170</v>
      </c>
      <c r="AV1" s="19" t="s">
        <v>171</v>
      </c>
      <c r="AW1" s="19" t="s">
        <v>172</v>
      </c>
      <c r="AX1" s="19" t="s">
        <v>173</v>
      </c>
      <c r="AY1" s="19" t="s">
        <v>174</v>
      </c>
      <c r="AZ1" s="19" t="s">
        <v>175</v>
      </c>
      <c r="BA1" s="29" t="s">
        <v>181</v>
      </c>
      <c r="BB1" s="29" t="s">
        <v>182</v>
      </c>
      <c r="BC1" s="29" t="s">
        <v>183</v>
      </c>
      <c r="BD1" s="29" t="s">
        <v>184</v>
      </c>
      <c r="BE1" s="29" t="s">
        <v>185</v>
      </c>
      <c r="BF1" s="30" t="s">
        <v>186</v>
      </c>
    </row>
    <row r="2" spans="1:58" x14ac:dyDescent="0.25">
      <c r="A2">
        <v>1</v>
      </c>
      <c r="B2" s="20">
        <v>44927</v>
      </c>
      <c r="C2" s="2" t="s">
        <v>1</v>
      </c>
      <c r="D2" s="2" t="s">
        <v>13</v>
      </c>
      <c r="E2" s="2" t="s">
        <v>26</v>
      </c>
      <c r="H2" s="2" t="s">
        <v>64</v>
      </c>
      <c r="I2" s="2" t="s">
        <v>105</v>
      </c>
      <c r="J2" s="2" t="s">
        <v>105</v>
      </c>
      <c r="K2" s="2">
        <v>34</v>
      </c>
      <c r="M2" s="2" t="s">
        <v>118</v>
      </c>
      <c r="N2" s="2" t="s">
        <v>28</v>
      </c>
      <c r="R2" s="2" t="s">
        <v>78</v>
      </c>
      <c r="S2" s="2" t="s">
        <v>105</v>
      </c>
      <c r="T2" s="2" t="s">
        <v>112</v>
      </c>
      <c r="U2" s="2" t="s">
        <v>54</v>
      </c>
      <c r="W2" s="2" t="s">
        <v>187</v>
      </c>
      <c r="AC2">
        <f t="shared" ref="AC2:AG3" si="0">IFERROR(VLOOKUP(C2,food,3,0),"")</f>
        <v>80</v>
      </c>
      <c r="AD2">
        <f t="shared" si="0"/>
        <v>208</v>
      </c>
      <c r="AE2">
        <f t="shared" si="0"/>
        <v>10</v>
      </c>
      <c r="AF2" t="str">
        <f t="shared" si="0"/>
        <v/>
      </c>
      <c r="AG2" t="str">
        <f t="shared" si="0"/>
        <v/>
      </c>
      <c r="AH2">
        <f>SUM(AC2:AG2)</f>
        <v>298</v>
      </c>
      <c r="AI2">
        <f t="shared" ref="AI2:AM3" si="1">IFERROR(VLOOKUP(H2,food,3,0),"")</f>
        <v>735</v>
      </c>
      <c r="AJ2">
        <f t="shared" si="1"/>
        <v>80</v>
      </c>
      <c r="AK2">
        <f t="shared" si="1"/>
        <v>80</v>
      </c>
      <c r="AL2" t="str">
        <f t="shared" si="1"/>
        <v/>
      </c>
      <c r="AM2" t="str">
        <f t="shared" si="1"/>
        <v/>
      </c>
      <c r="AN2">
        <f>SUM(AI2:AM2)</f>
        <v>895</v>
      </c>
      <c r="AO2">
        <f t="shared" ref="AO2:AS3" si="2">IFERROR(VLOOKUP(M2,food,3,0),"")</f>
        <v>325</v>
      </c>
      <c r="AP2">
        <f t="shared" si="2"/>
        <v>150</v>
      </c>
      <c r="AQ2" t="str">
        <f t="shared" si="2"/>
        <v/>
      </c>
      <c r="AR2" t="str">
        <f t="shared" si="2"/>
        <v/>
      </c>
      <c r="AS2" t="str">
        <f t="shared" si="2"/>
        <v/>
      </c>
      <c r="AT2">
        <f>SUM(AO2:AS2)</f>
        <v>475</v>
      </c>
      <c r="AU2">
        <f t="shared" ref="AU2:AY3" si="3">IFERROR(VLOOKUP(R2,food,3,0),"")</f>
        <v>695</v>
      </c>
      <c r="AV2">
        <f t="shared" si="3"/>
        <v>80</v>
      </c>
      <c r="AW2">
        <f t="shared" si="3"/>
        <v>152</v>
      </c>
      <c r="AX2">
        <f t="shared" si="3"/>
        <v>160</v>
      </c>
      <c r="AY2" t="str">
        <f t="shared" si="3"/>
        <v/>
      </c>
      <c r="AZ2">
        <f>SUM(AU2:AY2)</f>
        <v>1087</v>
      </c>
      <c r="BA2">
        <f t="shared" ref="BA2:BE3" si="4">IFERROR(VLOOKUP(W2,exercise,3,0),"")</f>
        <v>170</v>
      </c>
      <c r="BB2" t="str">
        <f t="shared" si="4"/>
        <v/>
      </c>
      <c r="BC2" t="str">
        <f t="shared" si="4"/>
        <v/>
      </c>
      <c r="BD2" t="str">
        <f t="shared" si="4"/>
        <v/>
      </c>
      <c r="BE2" t="str">
        <f t="shared" si="4"/>
        <v/>
      </c>
      <c r="BF2">
        <f>SUM(BA2:BE2)</f>
        <v>170</v>
      </c>
    </row>
    <row r="3" spans="1:58" x14ac:dyDescent="0.25">
      <c r="A3">
        <v>2</v>
      </c>
      <c r="B3" s="20">
        <v>44928</v>
      </c>
      <c r="C3" s="2" t="s">
        <v>7</v>
      </c>
      <c r="D3" s="2" t="s">
        <v>106</v>
      </c>
      <c r="E3" s="2" t="s">
        <v>106</v>
      </c>
      <c r="F3" s="2" t="s">
        <v>192</v>
      </c>
      <c r="H3" s="2" t="s">
        <v>78</v>
      </c>
      <c r="I3" s="2" t="s">
        <v>193</v>
      </c>
      <c r="J3" s="2" t="s">
        <v>116</v>
      </c>
      <c r="K3" s="2" t="s">
        <v>105</v>
      </c>
      <c r="L3" s="2" t="s">
        <v>105</v>
      </c>
      <c r="M3" s="2" t="s">
        <v>114</v>
      </c>
      <c r="N3" s="2" t="s">
        <v>62</v>
      </c>
      <c r="R3" s="2" t="s">
        <v>86</v>
      </c>
      <c r="S3" s="2" t="s">
        <v>90</v>
      </c>
      <c r="T3" s="2" t="s">
        <v>118</v>
      </c>
      <c r="W3" s="2" t="s">
        <v>187</v>
      </c>
      <c r="X3" s="2" t="s">
        <v>189</v>
      </c>
      <c r="AC3">
        <f t="shared" si="0"/>
        <v>250</v>
      </c>
      <c r="AD3">
        <f t="shared" si="0"/>
        <v>170</v>
      </c>
      <c r="AE3">
        <f t="shared" si="0"/>
        <v>170</v>
      </c>
      <c r="AF3" t="str">
        <f t="shared" si="0"/>
        <v/>
      </c>
      <c r="AG3" t="str">
        <f t="shared" si="0"/>
        <v/>
      </c>
      <c r="AH3">
        <f>SUM(AC3:AG3)</f>
        <v>590</v>
      </c>
      <c r="AI3">
        <f t="shared" si="1"/>
        <v>695</v>
      </c>
      <c r="AJ3" t="str">
        <f t="shared" si="1"/>
        <v/>
      </c>
      <c r="AK3">
        <f t="shared" si="1"/>
        <v>360</v>
      </c>
      <c r="AL3">
        <f t="shared" si="1"/>
        <v>80</v>
      </c>
      <c r="AM3">
        <f t="shared" si="1"/>
        <v>80</v>
      </c>
      <c r="AN3">
        <f>SUM(AI3:AM3)</f>
        <v>1215</v>
      </c>
      <c r="AO3">
        <f t="shared" si="2"/>
        <v>280</v>
      </c>
      <c r="AP3">
        <f t="shared" si="2"/>
        <v>650</v>
      </c>
      <c r="AQ3" t="str">
        <f t="shared" si="2"/>
        <v/>
      </c>
      <c r="AR3" t="str">
        <f t="shared" si="2"/>
        <v/>
      </c>
      <c r="AS3" t="str">
        <f t="shared" si="2"/>
        <v/>
      </c>
      <c r="AT3">
        <f>SUM(AO3:AS3)</f>
        <v>930</v>
      </c>
      <c r="AU3">
        <f t="shared" si="3"/>
        <v>260</v>
      </c>
      <c r="AV3">
        <f t="shared" si="3"/>
        <v>243</v>
      </c>
      <c r="AW3">
        <f t="shared" si="3"/>
        <v>325</v>
      </c>
      <c r="AX3" t="str">
        <f t="shared" si="3"/>
        <v/>
      </c>
      <c r="AY3" t="str">
        <f t="shared" si="3"/>
        <v/>
      </c>
      <c r="AZ3">
        <f>SUM(AU3:AY3)</f>
        <v>828</v>
      </c>
      <c r="BA3">
        <f t="shared" si="4"/>
        <v>170</v>
      </c>
      <c r="BB3">
        <f t="shared" si="4"/>
        <v>350</v>
      </c>
      <c r="BC3" t="str">
        <f t="shared" si="4"/>
        <v/>
      </c>
      <c r="BD3" t="str">
        <f t="shared" si="4"/>
        <v/>
      </c>
      <c r="BE3" t="str">
        <f t="shared" si="4"/>
        <v/>
      </c>
      <c r="BF3">
        <f>SUM(BA3:BE3)</f>
        <v>520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FEC1-88F1-41C8-A076-5A64DB629F95}">
  <sheetPr codeName="Sheet3"/>
  <dimension ref="A1:BI32"/>
  <sheetViews>
    <sheetView topLeftCell="Q1" workbookViewId="0">
      <selection activeCell="AF2" sqref="AF2"/>
    </sheetView>
  </sheetViews>
  <sheetFormatPr defaultRowHeight="15" x14ac:dyDescent="0.25"/>
  <cols>
    <col min="1" max="1" width="17.140625" customWidth="1"/>
    <col min="2" max="3" width="11.42578125" customWidth="1"/>
    <col min="4" max="8" width="12.85546875" style="2" customWidth="1"/>
    <col min="9" max="13" width="9.42578125" style="2" customWidth="1"/>
    <col min="14" max="18" width="18.7109375" style="2" customWidth="1"/>
    <col min="19" max="23" width="10.42578125" style="2" customWidth="1"/>
    <col min="24" max="28" width="12" style="2" customWidth="1"/>
    <col min="29" max="29" width="11" style="21" customWidth="1"/>
    <col min="30" max="34" width="9.28515625" customWidth="1"/>
    <col min="35" max="35" width="18.28515625" bestFit="1" customWidth="1"/>
    <col min="41" max="41" width="14.5703125" bestFit="1" customWidth="1"/>
    <col min="47" max="47" width="18.7109375" bestFit="1" customWidth="1"/>
    <col min="53" max="53" width="14.7109375" bestFit="1" customWidth="1"/>
    <col min="54" max="58" width="9.5703125" customWidth="1"/>
    <col min="59" max="59" width="16.7109375" bestFit="1" customWidth="1"/>
    <col min="61" max="61" width="24.140625" bestFit="1" customWidth="1"/>
  </cols>
  <sheetData>
    <row r="1" spans="1:61" x14ac:dyDescent="0.25">
      <c r="A1" s="40" t="s">
        <v>130</v>
      </c>
      <c r="B1" s="40" t="s">
        <v>131</v>
      </c>
      <c r="C1" s="40" t="s">
        <v>206</v>
      </c>
      <c r="D1" s="17" t="s">
        <v>132</v>
      </c>
      <c r="E1" s="17" t="s">
        <v>133</v>
      </c>
      <c r="F1" s="17" t="s">
        <v>134</v>
      </c>
      <c r="G1" s="17" t="s">
        <v>135</v>
      </c>
      <c r="H1" s="17" t="s">
        <v>136</v>
      </c>
      <c r="I1" s="18" t="s">
        <v>140</v>
      </c>
      <c r="J1" s="18" t="s">
        <v>141</v>
      </c>
      <c r="K1" s="18" t="s">
        <v>142</v>
      </c>
      <c r="L1" s="18" t="s">
        <v>143</v>
      </c>
      <c r="M1" s="18" t="s">
        <v>144</v>
      </c>
      <c r="N1" s="1" t="s">
        <v>145</v>
      </c>
      <c r="O1" s="1" t="s">
        <v>146</v>
      </c>
      <c r="P1" s="1" t="s">
        <v>147</v>
      </c>
      <c r="Q1" s="1" t="s">
        <v>148</v>
      </c>
      <c r="R1" s="1" t="s">
        <v>149</v>
      </c>
      <c r="S1" s="19" t="s">
        <v>150</v>
      </c>
      <c r="T1" s="19" t="s">
        <v>151</v>
      </c>
      <c r="U1" s="19" t="s">
        <v>152</v>
      </c>
      <c r="V1" s="19" t="s">
        <v>153</v>
      </c>
      <c r="W1" s="22" t="s">
        <v>154</v>
      </c>
      <c r="X1" s="28" t="s">
        <v>176</v>
      </c>
      <c r="Y1" s="28" t="s">
        <v>177</v>
      </c>
      <c r="Z1" s="28" t="s">
        <v>178</v>
      </c>
      <c r="AA1" s="28" t="s">
        <v>179</v>
      </c>
      <c r="AB1" s="28" t="s">
        <v>180</v>
      </c>
      <c r="AC1" s="24" t="s">
        <v>194</v>
      </c>
      <c r="AD1" s="23" t="s">
        <v>137</v>
      </c>
      <c r="AE1" s="23" t="s">
        <v>138</v>
      </c>
      <c r="AF1" s="23" t="s">
        <v>139</v>
      </c>
      <c r="AG1" s="23" t="s">
        <v>155</v>
      </c>
      <c r="AH1" s="23" t="s">
        <v>156</v>
      </c>
      <c r="AI1" s="25" t="s">
        <v>217</v>
      </c>
      <c r="AJ1" s="18" t="s">
        <v>158</v>
      </c>
      <c r="AK1" s="18" t="s">
        <v>159</v>
      </c>
      <c r="AL1" s="18" t="s">
        <v>160</v>
      </c>
      <c r="AM1" s="18" t="s">
        <v>161</v>
      </c>
      <c r="AN1" s="18" t="s">
        <v>162</v>
      </c>
      <c r="AO1" s="26" t="s">
        <v>218</v>
      </c>
      <c r="AP1" s="1" t="s">
        <v>164</v>
      </c>
      <c r="AQ1" s="1" t="s">
        <v>165</v>
      </c>
      <c r="AR1" s="1" t="s">
        <v>166</v>
      </c>
      <c r="AS1" s="1" t="s">
        <v>167</v>
      </c>
      <c r="AT1" s="1" t="s">
        <v>168</v>
      </c>
      <c r="AU1" s="27" t="s">
        <v>219</v>
      </c>
      <c r="AV1" s="19" t="s">
        <v>170</v>
      </c>
      <c r="AW1" s="19" t="s">
        <v>171</v>
      </c>
      <c r="AX1" s="19" t="s">
        <v>172</v>
      </c>
      <c r="AY1" s="19" t="s">
        <v>173</v>
      </c>
      <c r="AZ1" s="19" t="s">
        <v>174</v>
      </c>
      <c r="BA1" s="19" t="s">
        <v>220</v>
      </c>
      <c r="BB1" s="29" t="s">
        <v>181</v>
      </c>
      <c r="BC1" s="29" t="s">
        <v>182</v>
      </c>
      <c r="BD1" s="29" t="s">
        <v>183</v>
      </c>
      <c r="BE1" s="29" t="s">
        <v>184</v>
      </c>
      <c r="BF1" s="29" t="s">
        <v>185</v>
      </c>
      <c r="BG1" s="30" t="s">
        <v>221</v>
      </c>
      <c r="BI1" t="s">
        <v>229</v>
      </c>
    </row>
    <row r="2" spans="1:61" x14ac:dyDescent="0.25">
      <c r="A2">
        <v>1</v>
      </c>
      <c r="B2" s="20">
        <v>44927</v>
      </c>
      <c r="C2" s="20" t="s">
        <v>207</v>
      </c>
      <c r="D2" s="2" t="s">
        <v>1</v>
      </c>
      <c r="E2" s="2" t="s">
        <v>13</v>
      </c>
      <c r="F2" s="2" t="s">
        <v>26</v>
      </c>
      <c r="I2" s="2" t="s">
        <v>64</v>
      </c>
      <c r="J2" s="2" t="s">
        <v>105</v>
      </c>
      <c r="K2" s="2" t="s">
        <v>105</v>
      </c>
      <c r="L2" s="2">
        <v>34</v>
      </c>
      <c r="N2" s="2" t="s">
        <v>118</v>
      </c>
      <c r="O2" s="2" t="s">
        <v>28</v>
      </c>
      <c r="S2" s="2" t="s">
        <v>78</v>
      </c>
      <c r="T2" s="2" t="s">
        <v>105</v>
      </c>
      <c r="U2" s="2" t="s">
        <v>112</v>
      </c>
      <c r="V2" s="2" t="s">
        <v>54</v>
      </c>
      <c r="X2" s="2" t="s">
        <v>187</v>
      </c>
      <c r="AD2">
        <f t="shared" ref="AD2:AH8" si="0">IFERROR(VLOOKUP(D2,food,3,0),"")</f>
        <v>80</v>
      </c>
      <c r="AE2">
        <f t="shared" si="0"/>
        <v>208</v>
      </c>
      <c r="AF2">
        <f t="shared" si="0"/>
        <v>10</v>
      </c>
      <c r="AG2" t="str">
        <f t="shared" si="0"/>
        <v/>
      </c>
      <c r="AH2" t="str">
        <f t="shared" si="0"/>
        <v/>
      </c>
      <c r="AI2">
        <f t="shared" ref="AI2:AI8" si="1">SUM(AD2:AH2)</f>
        <v>298</v>
      </c>
      <c r="AJ2">
        <f t="shared" ref="AJ2:AN8" si="2">IFERROR(VLOOKUP(I2,food,3,0),"")</f>
        <v>735</v>
      </c>
      <c r="AK2">
        <f t="shared" si="2"/>
        <v>80</v>
      </c>
      <c r="AL2">
        <f t="shared" si="2"/>
        <v>80</v>
      </c>
      <c r="AM2" t="str">
        <f t="shared" si="2"/>
        <v/>
      </c>
      <c r="AN2" t="str">
        <f t="shared" si="2"/>
        <v/>
      </c>
      <c r="AO2">
        <f t="shared" ref="AO2:AO8" si="3">SUM(AJ2:AN2)</f>
        <v>895</v>
      </c>
      <c r="AP2">
        <f t="shared" ref="AP2:AT8" si="4">IFERROR(VLOOKUP(N2,food,3,0),"")</f>
        <v>325</v>
      </c>
      <c r="AQ2">
        <f t="shared" si="4"/>
        <v>150</v>
      </c>
      <c r="AR2" t="str">
        <f t="shared" si="4"/>
        <v/>
      </c>
      <c r="AS2" t="str">
        <f t="shared" si="4"/>
        <v/>
      </c>
      <c r="AT2" t="str">
        <f t="shared" si="4"/>
        <v/>
      </c>
      <c r="AU2">
        <f t="shared" ref="AU2:AU8" si="5">SUM(AP2:AT2)</f>
        <v>475</v>
      </c>
      <c r="AV2">
        <f t="shared" ref="AV2:AZ8" si="6">IFERROR(VLOOKUP(S2,food,3,0),"")</f>
        <v>695</v>
      </c>
      <c r="AW2">
        <f t="shared" si="6"/>
        <v>80</v>
      </c>
      <c r="AX2">
        <f t="shared" si="6"/>
        <v>152</v>
      </c>
      <c r="AY2">
        <f t="shared" si="6"/>
        <v>160</v>
      </c>
      <c r="AZ2" t="str">
        <f t="shared" si="6"/>
        <v/>
      </c>
      <c r="BA2">
        <f t="shared" ref="BA2:BA8" si="7">SUM(AV2:AZ2)</f>
        <v>1087</v>
      </c>
      <c r="BB2">
        <f t="shared" ref="BB2:BF8" si="8">IFERROR(VLOOKUP(X2,exercise,3,0),"")</f>
        <v>170</v>
      </c>
      <c r="BC2" t="str">
        <f t="shared" si="8"/>
        <v/>
      </c>
      <c r="BD2" t="str">
        <f t="shared" si="8"/>
        <v/>
      </c>
      <c r="BE2" t="str">
        <f t="shared" si="8"/>
        <v/>
      </c>
      <c r="BF2" t="str">
        <f t="shared" si="8"/>
        <v/>
      </c>
      <c r="BG2">
        <f t="shared" ref="BG2:BG8" si="9">SUM(BB2:BF2)</f>
        <v>170</v>
      </c>
    </row>
    <row r="3" spans="1:61" x14ac:dyDescent="0.25">
      <c r="A3">
        <v>2</v>
      </c>
      <c r="B3" s="20">
        <v>44928</v>
      </c>
      <c r="C3" s="20" t="s">
        <v>208</v>
      </c>
      <c r="D3" s="2" t="s">
        <v>7</v>
      </c>
      <c r="E3" s="2" t="s">
        <v>106</v>
      </c>
      <c r="F3" s="2" t="s">
        <v>106</v>
      </c>
      <c r="G3" s="2" t="s">
        <v>192</v>
      </c>
      <c r="I3" s="2" t="s">
        <v>78</v>
      </c>
      <c r="J3" s="2" t="s">
        <v>193</v>
      </c>
      <c r="K3" s="2" t="s">
        <v>116</v>
      </c>
      <c r="L3" s="2" t="s">
        <v>105</v>
      </c>
      <c r="M3" s="2" t="s">
        <v>105</v>
      </c>
      <c r="N3" s="2" t="s">
        <v>114</v>
      </c>
      <c r="O3" s="2" t="s">
        <v>62</v>
      </c>
      <c r="S3" s="2" t="s">
        <v>86</v>
      </c>
      <c r="T3" s="2" t="s">
        <v>90</v>
      </c>
      <c r="U3" s="2" t="s">
        <v>118</v>
      </c>
      <c r="X3" s="2" t="s">
        <v>187</v>
      </c>
      <c r="Y3" s="2" t="s">
        <v>189</v>
      </c>
      <c r="AD3">
        <f t="shared" si="0"/>
        <v>250</v>
      </c>
      <c r="AE3">
        <f t="shared" si="0"/>
        <v>170</v>
      </c>
      <c r="AF3">
        <f t="shared" si="0"/>
        <v>170</v>
      </c>
      <c r="AG3" t="str">
        <f t="shared" si="0"/>
        <v/>
      </c>
      <c r="AH3" t="str">
        <f t="shared" si="0"/>
        <v/>
      </c>
      <c r="AI3">
        <f t="shared" si="1"/>
        <v>590</v>
      </c>
      <c r="AJ3">
        <f t="shared" si="2"/>
        <v>695</v>
      </c>
      <c r="AK3" t="str">
        <f t="shared" si="2"/>
        <v/>
      </c>
      <c r="AL3">
        <f t="shared" si="2"/>
        <v>360</v>
      </c>
      <c r="AM3">
        <f t="shared" si="2"/>
        <v>80</v>
      </c>
      <c r="AN3">
        <f t="shared" si="2"/>
        <v>80</v>
      </c>
      <c r="AO3">
        <f t="shared" si="3"/>
        <v>1215</v>
      </c>
      <c r="AP3">
        <f t="shared" si="4"/>
        <v>280</v>
      </c>
      <c r="AQ3">
        <f t="shared" si="4"/>
        <v>650</v>
      </c>
      <c r="AR3" t="str">
        <f t="shared" si="4"/>
        <v/>
      </c>
      <c r="AS3" t="str">
        <f t="shared" si="4"/>
        <v/>
      </c>
      <c r="AT3" t="str">
        <f t="shared" si="4"/>
        <v/>
      </c>
      <c r="AU3">
        <f t="shared" si="5"/>
        <v>930</v>
      </c>
      <c r="AV3">
        <f t="shared" si="6"/>
        <v>260</v>
      </c>
      <c r="AW3">
        <f t="shared" si="6"/>
        <v>243</v>
      </c>
      <c r="AX3">
        <f t="shared" si="6"/>
        <v>325</v>
      </c>
      <c r="AY3" t="str">
        <f t="shared" si="6"/>
        <v/>
      </c>
      <c r="AZ3" t="str">
        <f t="shared" si="6"/>
        <v/>
      </c>
      <c r="BA3">
        <f t="shared" si="7"/>
        <v>828</v>
      </c>
      <c r="BB3">
        <f t="shared" si="8"/>
        <v>170</v>
      </c>
      <c r="BC3">
        <f t="shared" si="8"/>
        <v>350</v>
      </c>
      <c r="BD3" t="str">
        <f t="shared" si="8"/>
        <v/>
      </c>
      <c r="BE3" t="str">
        <f t="shared" si="8"/>
        <v/>
      </c>
      <c r="BF3" t="str">
        <f t="shared" si="8"/>
        <v/>
      </c>
      <c r="BG3">
        <f t="shared" si="9"/>
        <v>520</v>
      </c>
    </row>
    <row r="4" spans="1:61" x14ac:dyDescent="0.25">
      <c r="A4">
        <v>3</v>
      </c>
      <c r="B4" s="20">
        <v>44929</v>
      </c>
      <c r="C4" s="20" t="s">
        <v>209</v>
      </c>
      <c r="D4" s="2" t="s">
        <v>5</v>
      </c>
      <c r="E4" s="2" t="s">
        <v>106</v>
      </c>
      <c r="F4" s="2" t="s">
        <v>106</v>
      </c>
      <c r="G4" s="2" t="s">
        <v>40</v>
      </c>
      <c r="I4" s="2" t="s">
        <v>78</v>
      </c>
      <c r="J4" s="2" t="s">
        <v>112</v>
      </c>
      <c r="K4" s="2" t="s">
        <v>105</v>
      </c>
      <c r="L4" s="2" t="s">
        <v>100</v>
      </c>
      <c r="M4" s="2" t="s">
        <v>42</v>
      </c>
      <c r="N4" s="2" t="s">
        <v>40</v>
      </c>
      <c r="O4" s="2" t="s">
        <v>42</v>
      </c>
      <c r="P4" s="2" t="s">
        <v>54</v>
      </c>
      <c r="S4" s="2" t="s">
        <v>82</v>
      </c>
      <c r="T4" s="2" t="s">
        <v>108</v>
      </c>
      <c r="U4" s="2" t="s">
        <v>105</v>
      </c>
      <c r="V4" s="2" t="s">
        <v>118</v>
      </c>
      <c r="W4" s="2" t="s">
        <v>82</v>
      </c>
      <c r="X4" s="2" t="s">
        <v>187</v>
      </c>
      <c r="Y4" s="2" t="s">
        <v>191</v>
      </c>
      <c r="AD4">
        <f t="shared" si="0"/>
        <v>250</v>
      </c>
      <c r="AE4">
        <f t="shared" si="0"/>
        <v>170</v>
      </c>
      <c r="AF4">
        <f t="shared" si="0"/>
        <v>170</v>
      </c>
      <c r="AG4">
        <f t="shared" si="0"/>
        <v>358</v>
      </c>
      <c r="AH4" t="str">
        <f t="shared" si="0"/>
        <v/>
      </c>
      <c r="AI4">
        <f t="shared" si="1"/>
        <v>948</v>
      </c>
      <c r="AJ4">
        <f t="shared" si="2"/>
        <v>695</v>
      </c>
      <c r="AK4">
        <f t="shared" si="2"/>
        <v>152</v>
      </c>
      <c r="AL4">
        <f t="shared" si="2"/>
        <v>80</v>
      </c>
      <c r="AM4">
        <f t="shared" si="2"/>
        <v>380</v>
      </c>
      <c r="AN4">
        <f t="shared" si="2"/>
        <v>255</v>
      </c>
      <c r="AO4">
        <f t="shared" si="3"/>
        <v>1562</v>
      </c>
      <c r="AP4">
        <f t="shared" si="4"/>
        <v>358</v>
      </c>
      <c r="AQ4">
        <f t="shared" si="4"/>
        <v>255</v>
      </c>
      <c r="AR4">
        <f t="shared" si="4"/>
        <v>160</v>
      </c>
      <c r="AS4" t="str">
        <f t="shared" si="4"/>
        <v/>
      </c>
      <c r="AT4" t="str">
        <f t="shared" si="4"/>
        <v/>
      </c>
      <c r="AU4">
        <f t="shared" si="5"/>
        <v>773</v>
      </c>
      <c r="AV4">
        <f t="shared" si="6"/>
        <v>331</v>
      </c>
      <c r="AW4">
        <f t="shared" si="6"/>
        <v>143</v>
      </c>
      <c r="AX4">
        <f t="shared" si="6"/>
        <v>80</v>
      </c>
      <c r="AY4">
        <f t="shared" si="6"/>
        <v>325</v>
      </c>
      <c r="AZ4">
        <f t="shared" si="6"/>
        <v>331</v>
      </c>
      <c r="BA4">
        <f t="shared" si="7"/>
        <v>1210</v>
      </c>
      <c r="BB4">
        <f t="shared" si="8"/>
        <v>170</v>
      </c>
      <c r="BC4">
        <f t="shared" si="8"/>
        <v>420</v>
      </c>
      <c r="BD4" t="str">
        <f t="shared" si="8"/>
        <v/>
      </c>
      <c r="BE4" t="str">
        <f t="shared" si="8"/>
        <v/>
      </c>
      <c r="BF4" t="str">
        <f t="shared" si="8"/>
        <v/>
      </c>
      <c r="BG4">
        <f t="shared" si="9"/>
        <v>590</v>
      </c>
    </row>
    <row r="5" spans="1:61" x14ac:dyDescent="0.25">
      <c r="A5">
        <v>4</v>
      </c>
      <c r="B5" s="20">
        <v>44930</v>
      </c>
      <c r="C5" s="20" t="s">
        <v>210</v>
      </c>
      <c r="D5" s="2" t="s">
        <v>5</v>
      </c>
      <c r="E5" s="2" t="s">
        <v>38</v>
      </c>
      <c r="F5" s="2" t="s">
        <v>17</v>
      </c>
      <c r="G5" s="2" t="s">
        <v>22</v>
      </c>
      <c r="H5" s="2" t="s">
        <v>58</v>
      </c>
      <c r="I5" s="2" t="s">
        <v>68</v>
      </c>
      <c r="J5" s="2" t="s">
        <v>84</v>
      </c>
      <c r="K5" s="2" t="s">
        <v>112</v>
      </c>
      <c r="L5" s="2" t="s">
        <v>105</v>
      </c>
      <c r="M5" s="2" t="s">
        <v>46</v>
      </c>
      <c r="N5" s="2" t="s">
        <v>52</v>
      </c>
      <c r="O5" s="2" t="s">
        <v>58</v>
      </c>
      <c r="P5" s="2" t="s">
        <v>38</v>
      </c>
      <c r="Q5" s="2" t="s">
        <v>58</v>
      </c>
      <c r="R5" s="2" t="s">
        <v>58</v>
      </c>
      <c r="S5" s="2" t="s">
        <v>202</v>
      </c>
      <c r="T5" s="2" t="s">
        <v>108</v>
      </c>
      <c r="U5" s="2" t="s">
        <v>82</v>
      </c>
      <c r="V5" s="2" t="s">
        <v>203</v>
      </c>
      <c r="W5" s="2" t="s">
        <v>203</v>
      </c>
      <c r="X5" s="2" t="s">
        <v>187</v>
      </c>
      <c r="Y5" s="2" t="s">
        <v>190</v>
      </c>
      <c r="AD5">
        <f t="shared" si="0"/>
        <v>250</v>
      </c>
      <c r="AE5">
        <f t="shared" si="0"/>
        <v>360</v>
      </c>
      <c r="AF5">
        <f t="shared" si="0"/>
        <v>227</v>
      </c>
      <c r="AG5">
        <f t="shared" si="0"/>
        <v>44</v>
      </c>
      <c r="AH5">
        <f t="shared" si="0"/>
        <v>65</v>
      </c>
      <c r="AI5">
        <f t="shared" si="1"/>
        <v>946</v>
      </c>
      <c r="AJ5">
        <f t="shared" si="2"/>
        <v>675</v>
      </c>
      <c r="AK5">
        <f t="shared" si="2"/>
        <v>460</v>
      </c>
      <c r="AL5">
        <f t="shared" si="2"/>
        <v>152</v>
      </c>
      <c r="AM5">
        <f t="shared" si="2"/>
        <v>80</v>
      </c>
      <c r="AN5">
        <f t="shared" si="2"/>
        <v>132</v>
      </c>
      <c r="AO5">
        <f t="shared" si="3"/>
        <v>1499</v>
      </c>
      <c r="AP5">
        <f t="shared" si="4"/>
        <v>100</v>
      </c>
      <c r="AQ5">
        <f t="shared" si="4"/>
        <v>65</v>
      </c>
      <c r="AR5">
        <f t="shared" si="4"/>
        <v>360</v>
      </c>
      <c r="AS5">
        <f t="shared" si="4"/>
        <v>65</v>
      </c>
      <c r="AT5">
        <f t="shared" si="4"/>
        <v>65</v>
      </c>
      <c r="AU5">
        <f t="shared" si="5"/>
        <v>655</v>
      </c>
      <c r="AV5" t="str">
        <f t="shared" si="6"/>
        <v/>
      </c>
      <c r="AW5">
        <f t="shared" si="6"/>
        <v>143</v>
      </c>
      <c r="AX5">
        <f t="shared" si="6"/>
        <v>331</v>
      </c>
      <c r="AY5" t="str">
        <f t="shared" si="6"/>
        <v/>
      </c>
      <c r="AZ5" t="str">
        <f t="shared" si="6"/>
        <v/>
      </c>
      <c r="BA5">
        <f t="shared" si="7"/>
        <v>474</v>
      </c>
      <c r="BB5">
        <f t="shared" si="8"/>
        <v>170</v>
      </c>
      <c r="BC5">
        <f t="shared" si="8"/>
        <v>350</v>
      </c>
      <c r="BD5" t="str">
        <f t="shared" si="8"/>
        <v/>
      </c>
      <c r="BE5" t="str">
        <f t="shared" si="8"/>
        <v/>
      </c>
      <c r="BF5" t="str">
        <f t="shared" si="8"/>
        <v/>
      </c>
      <c r="BG5">
        <f t="shared" si="9"/>
        <v>520</v>
      </c>
    </row>
    <row r="6" spans="1:61" x14ac:dyDescent="0.25">
      <c r="A6">
        <v>5</v>
      </c>
      <c r="B6" s="20">
        <v>44931</v>
      </c>
      <c r="C6" s="20" t="s">
        <v>211</v>
      </c>
      <c r="D6" s="2" t="s">
        <v>44</v>
      </c>
      <c r="E6" s="2" t="s">
        <v>11</v>
      </c>
      <c r="F6" s="2" t="s">
        <v>40</v>
      </c>
      <c r="I6" s="2" t="s">
        <v>66</v>
      </c>
      <c r="J6" s="2" t="s">
        <v>105</v>
      </c>
      <c r="K6" s="2" t="s">
        <v>108</v>
      </c>
      <c r="L6" s="2" t="s">
        <v>94</v>
      </c>
      <c r="M6" s="2" t="s">
        <v>94</v>
      </c>
      <c r="N6" s="2" t="s">
        <v>15</v>
      </c>
      <c r="O6" s="2" t="s">
        <v>38</v>
      </c>
      <c r="P6" s="2" t="s">
        <v>42</v>
      </c>
      <c r="S6" s="2" t="s">
        <v>86</v>
      </c>
      <c r="T6" s="2" t="s">
        <v>92</v>
      </c>
      <c r="U6" s="2" t="s">
        <v>110</v>
      </c>
      <c r="V6" s="2" t="s">
        <v>120</v>
      </c>
      <c r="X6" s="2" t="s">
        <v>187</v>
      </c>
      <c r="Y6" s="2" t="s">
        <v>191</v>
      </c>
      <c r="AD6">
        <f t="shared" si="0"/>
        <v>75</v>
      </c>
      <c r="AE6">
        <f t="shared" si="0"/>
        <v>166</v>
      </c>
      <c r="AF6">
        <f t="shared" si="0"/>
        <v>358</v>
      </c>
      <c r="AG6" t="str">
        <f t="shared" si="0"/>
        <v/>
      </c>
      <c r="AH6" t="str">
        <f t="shared" si="0"/>
        <v/>
      </c>
      <c r="AI6">
        <f t="shared" si="1"/>
        <v>599</v>
      </c>
      <c r="AJ6">
        <f t="shared" si="2"/>
        <v>716</v>
      </c>
      <c r="AK6">
        <f t="shared" si="2"/>
        <v>80</v>
      </c>
      <c r="AL6">
        <f t="shared" si="2"/>
        <v>143</v>
      </c>
      <c r="AM6">
        <f t="shared" si="2"/>
        <v>230</v>
      </c>
      <c r="AN6">
        <f t="shared" si="2"/>
        <v>230</v>
      </c>
      <c r="AO6">
        <f t="shared" si="3"/>
        <v>1399</v>
      </c>
      <c r="AP6">
        <f t="shared" si="4"/>
        <v>142</v>
      </c>
      <c r="AQ6">
        <f t="shared" si="4"/>
        <v>360</v>
      </c>
      <c r="AR6">
        <f t="shared" si="4"/>
        <v>255</v>
      </c>
      <c r="AS6" t="str">
        <f t="shared" si="4"/>
        <v/>
      </c>
      <c r="AT6" t="str">
        <f t="shared" si="4"/>
        <v/>
      </c>
      <c r="AU6">
        <f t="shared" si="5"/>
        <v>757</v>
      </c>
      <c r="AV6">
        <f t="shared" si="6"/>
        <v>260</v>
      </c>
      <c r="AW6">
        <f t="shared" si="6"/>
        <v>330</v>
      </c>
      <c r="AX6">
        <f t="shared" si="6"/>
        <v>123</v>
      </c>
      <c r="AY6">
        <f t="shared" si="6"/>
        <v>690</v>
      </c>
      <c r="AZ6" t="str">
        <f t="shared" si="6"/>
        <v/>
      </c>
      <c r="BA6">
        <f t="shared" si="7"/>
        <v>1403</v>
      </c>
      <c r="BB6">
        <f t="shared" si="8"/>
        <v>170</v>
      </c>
      <c r="BC6">
        <f t="shared" si="8"/>
        <v>420</v>
      </c>
      <c r="BD6" t="str">
        <f t="shared" si="8"/>
        <v/>
      </c>
      <c r="BE6" t="str">
        <f t="shared" si="8"/>
        <v/>
      </c>
      <c r="BF6" t="str">
        <f t="shared" si="8"/>
        <v/>
      </c>
      <c r="BG6">
        <f t="shared" si="9"/>
        <v>590</v>
      </c>
    </row>
    <row r="7" spans="1:61" x14ac:dyDescent="0.25">
      <c r="A7">
        <v>6</v>
      </c>
      <c r="B7" s="20">
        <v>44932</v>
      </c>
      <c r="C7" s="20" t="s">
        <v>212</v>
      </c>
      <c r="D7" s="2" t="s">
        <v>7</v>
      </c>
      <c r="E7" s="2" t="s">
        <v>192</v>
      </c>
      <c r="F7" s="2" t="s">
        <v>106</v>
      </c>
      <c r="I7" s="2" t="s">
        <v>102</v>
      </c>
      <c r="J7" s="2" t="s">
        <v>105</v>
      </c>
      <c r="K7" s="2" t="s">
        <v>114</v>
      </c>
      <c r="N7" s="2" t="s">
        <v>54</v>
      </c>
      <c r="O7" s="2" t="s">
        <v>40</v>
      </c>
      <c r="S7" s="2" t="s">
        <v>74</v>
      </c>
      <c r="T7" s="2" t="s">
        <v>90</v>
      </c>
      <c r="X7" s="2" t="s">
        <v>187</v>
      </c>
      <c r="Y7" s="2" t="s">
        <v>189</v>
      </c>
      <c r="AD7">
        <f t="shared" si="0"/>
        <v>250</v>
      </c>
      <c r="AE7" t="str">
        <f t="shared" si="0"/>
        <v/>
      </c>
      <c r="AF7">
        <f t="shared" si="0"/>
        <v>170</v>
      </c>
      <c r="AG7" t="str">
        <f t="shared" si="0"/>
        <v/>
      </c>
      <c r="AH7" t="str">
        <f t="shared" si="0"/>
        <v/>
      </c>
      <c r="AI7">
        <f t="shared" si="1"/>
        <v>420</v>
      </c>
      <c r="AJ7">
        <f t="shared" si="2"/>
        <v>695</v>
      </c>
      <c r="AK7">
        <f t="shared" si="2"/>
        <v>80</v>
      </c>
      <c r="AL7">
        <f t="shared" si="2"/>
        <v>280</v>
      </c>
      <c r="AM7" t="str">
        <f t="shared" si="2"/>
        <v/>
      </c>
      <c r="AN7" t="str">
        <f t="shared" si="2"/>
        <v/>
      </c>
      <c r="AO7">
        <f t="shared" si="3"/>
        <v>1055</v>
      </c>
      <c r="AP7">
        <f t="shared" si="4"/>
        <v>160</v>
      </c>
      <c r="AQ7">
        <f t="shared" si="4"/>
        <v>358</v>
      </c>
      <c r="AR7" t="str">
        <f t="shared" si="4"/>
        <v/>
      </c>
      <c r="AS7" t="str">
        <f t="shared" si="4"/>
        <v/>
      </c>
      <c r="AT7" t="str">
        <f t="shared" si="4"/>
        <v/>
      </c>
      <c r="AU7">
        <f t="shared" si="5"/>
        <v>518</v>
      </c>
      <c r="AV7">
        <f t="shared" si="6"/>
        <v>460</v>
      </c>
      <c r="AW7">
        <f t="shared" si="6"/>
        <v>243</v>
      </c>
      <c r="AX7" t="str">
        <f t="shared" si="6"/>
        <v/>
      </c>
      <c r="AY7" t="str">
        <f t="shared" si="6"/>
        <v/>
      </c>
      <c r="AZ7" t="str">
        <f t="shared" si="6"/>
        <v/>
      </c>
      <c r="BA7">
        <f t="shared" si="7"/>
        <v>703</v>
      </c>
      <c r="BB7">
        <f t="shared" si="8"/>
        <v>170</v>
      </c>
      <c r="BC7">
        <f t="shared" si="8"/>
        <v>350</v>
      </c>
      <c r="BD7" t="str">
        <f t="shared" si="8"/>
        <v/>
      </c>
      <c r="BE7" t="str">
        <f t="shared" si="8"/>
        <v/>
      </c>
      <c r="BF7" t="str">
        <f t="shared" si="8"/>
        <v/>
      </c>
      <c r="BG7">
        <f t="shared" si="9"/>
        <v>520</v>
      </c>
    </row>
    <row r="8" spans="1:61" x14ac:dyDescent="0.25">
      <c r="A8">
        <v>7</v>
      </c>
      <c r="B8" s="20">
        <v>44933</v>
      </c>
      <c r="C8" s="20" t="s">
        <v>213</v>
      </c>
      <c r="D8" s="2" t="s">
        <v>24</v>
      </c>
      <c r="E8" s="2" t="s">
        <v>42</v>
      </c>
      <c r="F8" s="2" t="s">
        <v>36</v>
      </c>
      <c r="G8" s="2" t="s">
        <v>50</v>
      </c>
      <c r="I8" s="2" t="s">
        <v>84</v>
      </c>
      <c r="J8" s="2" t="s">
        <v>84</v>
      </c>
      <c r="K8" s="2" t="s">
        <v>110</v>
      </c>
      <c r="L8" s="2" t="s">
        <v>205</v>
      </c>
      <c r="N8" s="2" t="s">
        <v>30</v>
      </c>
      <c r="O8" s="2" t="s">
        <v>50</v>
      </c>
      <c r="P8" s="2" t="s">
        <v>34</v>
      </c>
      <c r="S8" s="2" t="s">
        <v>100</v>
      </c>
      <c r="T8" s="2" t="s">
        <v>100</v>
      </c>
      <c r="U8" s="2" t="s">
        <v>92</v>
      </c>
      <c r="V8" s="2" t="s">
        <v>120</v>
      </c>
      <c r="X8" s="2" t="s">
        <v>187</v>
      </c>
      <c r="Y8" s="2" t="s">
        <v>190</v>
      </c>
      <c r="AD8">
        <f t="shared" si="0"/>
        <v>40</v>
      </c>
      <c r="AE8">
        <f t="shared" si="0"/>
        <v>255</v>
      </c>
      <c r="AF8">
        <f t="shared" si="0"/>
        <v>310</v>
      </c>
      <c r="AG8">
        <f t="shared" si="0"/>
        <v>85</v>
      </c>
      <c r="AH8" t="str">
        <f t="shared" si="0"/>
        <v/>
      </c>
      <c r="AI8">
        <f t="shared" si="1"/>
        <v>690</v>
      </c>
      <c r="AJ8">
        <f t="shared" si="2"/>
        <v>460</v>
      </c>
      <c r="AK8">
        <f t="shared" si="2"/>
        <v>460</v>
      </c>
      <c r="AL8">
        <f t="shared" si="2"/>
        <v>123</v>
      </c>
      <c r="AM8" t="str">
        <f t="shared" si="2"/>
        <v/>
      </c>
      <c r="AN8" t="str">
        <f t="shared" si="2"/>
        <v/>
      </c>
      <c r="AO8">
        <f t="shared" si="3"/>
        <v>1043</v>
      </c>
      <c r="AP8">
        <f t="shared" si="4"/>
        <v>150</v>
      </c>
      <c r="AQ8">
        <f t="shared" si="4"/>
        <v>85</v>
      </c>
      <c r="AR8">
        <f t="shared" si="4"/>
        <v>270</v>
      </c>
      <c r="AS8" t="str">
        <f t="shared" si="4"/>
        <v/>
      </c>
      <c r="AT8" t="str">
        <f t="shared" si="4"/>
        <v/>
      </c>
      <c r="AU8">
        <f t="shared" si="5"/>
        <v>505</v>
      </c>
      <c r="AV8">
        <f t="shared" si="6"/>
        <v>380</v>
      </c>
      <c r="AW8">
        <f t="shared" si="6"/>
        <v>380</v>
      </c>
      <c r="AX8">
        <f t="shared" si="6"/>
        <v>330</v>
      </c>
      <c r="AY8">
        <f t="shared" si="6"/>
        <v>690</v>
      </c>
      <c r="AZ8" t="str">
        <f t="shared" si="6"/>
        <v/>
      </c>
      <c r="BA8">
        <f t="shared" si="7"/>
        <v>1780</v>
      </c>
      <c r="BB8">
        <f t="shared" si="8"/>
        <v>170</v>
      </c>
      <c r="BC8">
        <f t="shared" si="8"/>
        <v>350</v>
      </c>
      <c r="BD8" t="str">
        <f t="shared" si="8"/>
        <v/>
      </c>
      <c r="BE8" t="str">
        <f t="shared" si="8"/>
        <v/>
      </c>
      <c r="BF8" t="str">
        <f t="shared" si="8"/>
        <v/>
      </c>
      <c r="BG8">
        <f t="shared" si="9"/>
        <v>520</v>
      </c>
    </row>
    <row r="9" spans="1:61" x14ac:dyDescent="0.25">
      <c r="A9">
        <v>8</v>
      </c>
      <c r="B9" s="20">
        <v>44934</v>
      </c>
      <c r="C9" s="20" t="s">
        <v>207</v>
      </c>
      <c r="D9" s="2" t="s">
        <v>44</v>
      </c>
      <c r="E9" s="2" t="s">
        <v>11</v>
      </c>
      <c r="F9" s="2" t="s">
        <v>40</v>
      </c>
      <c r="I9" s="2" t="s">
        <v>66</v>
      </c>
      <c r="J9" s="2" t="s">
        <v>105</v>
      </c>
      <c r="K9" s="2" t="s">
        <v>108</v>
      </c>
      <c r="L9" s="2" t="s">
        <v>94</v>
      </c>
      <c r="M9" s="2" t="s">
        <v>94</v>
      </c>
      <c r="N9" s="2" t="s">
        <v>15</v>
      </c>
      <c r="O9" s="2" t="s">
        <v>38</v>
      </c>
      <c r="P9" s="2" t="s">
        <v>42</v>
      </c>
      <c r="S9" s="2" t="s">
        <v>86</v>
      </c>
      <c r="T9" s="2" t="s">
        <v>92</v>
      </c>
      <c r="U9" s="2" t="s">
        <v>110</v>
      </c>
      <c r="V9" s="2" t="s">
        <v>120</v>
      </c>
      <c r="X9" s="2" t="s">
        <v>187</v>
      </c>
      <c r="Y9" s="2" t="s">
        <v>191</v>
      </c>
      <c r="AD9">
        <f t="shared" ref="AD9:AD32" si="10">IFERROR(VLOOKUP(D9,food,3,0),"")</f>
        <v>75</v>
      </c>
      <c r="AE9">
        <f t="shared" ref="AE9:AE32" si="11">IFERROR(VLOOKUP(E9,food,3,0),"")</f>
        <v>166</v>
      </c>
      <c r="AF9">
        <f t="shared" ref="AF9:AF32" si="12">IFERROR(VLOOKUP(F9,food,3,0),"")</f>
        <v>358</v>
      </c>
      <c r="AG9" t="str">
        <f t="shared" ref="AG9:AG32" si="13">IFERROR(VLOOKUP(G9,food,3,0),"")</f>
        <v/>
      </c>
      <c r="AH9" t="str">
        <f t="shared" ref="AH9:AH32" si="14">IFERROR(VLOOKUP(H9,food,3,0),"")</f>
        <v/>
      </c>
      <c r="AI9">
        <f t="shared" ref="AI9:AI32" si="15">SUM(AD9:AH9)</f>
        <v>599</v>
      </c>
      <c r="AJ9">
        <f t="shared" ref="AJ9:AJ32" si="16">IFERROR(VLOOKUP(I9,food,3,0),"")</f>
        <v>716</v>
      </c>
      <c r="AK9">
        <f t="shared" ref="AK9:AK32" si="17">IFERROR(VLOOKUP(J9,food,3,0),"")</f>
        <v>80</v>
      </c>
      <c r="AL9">
        <f t="shared" ref="AL9:AL32" si="18">IFERROR(VLOOKUP(K9,food,3,0),"")</f>
        <v>143</v>
      </c>
      <c r="AM9">
        <f t="shared" ref="AM9:AM32" si="19">IFERROR(VLOOKUP(L9,food,3,0),"")</f>
        <v>230</v>
      </c>
      <c r="AN9">
        <f t="shared" ref="AN9:AN32" si="20">IFERROR(VLOOKUP(M9,food,3,0),"")</f>
        <v>230</v>
      </c>
      <c r="AO9">
        <f t="shared" ref="AO9:AO32" si="21">SUM(AJ9:AN9)</f>
        <v>1399</v>
      </c>
      <c r="AP9">
        <f t="shared" ref="AP9:AP32" si="22">IFERROR(VLOOKUP(N9,food,3,0),"")</f>
        <v>142</v>
      </c>
      <c r="AQ9">
        <f t="shared" ref="AQ9:AQ32" si="23">IFERROR(VLOOKUP(O9,food,3,0),"")</f>
        <v>360</v>
      </c>
      <c r="AR9">
        <f t="shared" ref="AR9:AR32" si="24">IFERROR(VLOOKUP(P9,food,3,0),"")</f>
        <v>255</v>
      </c>
      <c r="AS9" t="str">
        <f t="shared" ref="AS9:AS32" si="25">IFERROR(VLOOKUP(Q9,food,3,0),"")</f>
        <v/>
      </c>
      <c r="AT9" t="str">
        <f t="shared" ref="AT9:AT32" si="26">IFERROR(VLOOKUP(R9,food,3,0),"")</f>
        <v/>
      </c>
      <c r="AU9">
        <f t="shared" ref="AU9:AU32" si="27">SUM(AP9:AT9)</f>
        <v>757</v>
      </c>
      <c r="AV9">
        <f t="shared" ref="AV9:AV32" si="28">IFERROR(VLOOKUP(S9,food,3,0),"")</f>
        <v>260</v>
      </c>
      <c r="AW9">
        <f t="shared" ref="AW9:AW32" si="29">IFERROR(VLOOKUP(T9,food,3,0),"")</f>
        <v>330</v>
      </c>
      <c r="AX9">
        <f t="shared" ref="AX9:AX32" si="30">IFERROR(VLOOKUP(U9,food,3,0),"")</f>
        <v>123</v>
      </c>
      <c r="AY9">
        <f t="shared" ref="AY9:AY32" si="31">IFERROR(VLOOKUP(V9,food,3,0),"")</f>
        <v>690</v>
      </c>
      <c r="AZ9" t="str">
        <f t="shared" ref="AZ9:AZ32" si="32">IFERROR(VLOOKUP(W9,food,3,0),"")</f>
        <v/>
      </c>
      <c r="BA9">
        <f t="shared" ref="BA9:BA32" si="33">SUM(AV9:AZ9)</f>
        <v>1403</v>
      </c>
      <c r="BB9">
        <f t="shared" ref="BB9:BB32" si="34">IFERROR(VLOOKUP(X9,exercise,3,0),"")</f>
        <v>170</v>
      </c>
      <c r="BC9">
        <f t="shared" ref="BC9:BC32" si="35">IFERROR(VLOOKUP(Y9,exercise,3,0),"")</f>
        <v>420</v>
      </c>
      <c r="BD9" t="str">
        <f t="shared" ref="BD9:BD32" si="36">IFERROR(VLOOKUP(Z9,exercise,3,0),"")</f>
        <v/>
      </c>
      <c r="BE9" t="str">
        <f t="shared" ref="BE9:BE32" si="37">IFERROR(VLOOKUP(AA9,exercise,3,0),"")</f>
        <v/>
      </c>
      <c r="BF9" t="str">
        <f t="shared" ref="BF9:BF32" si="38">IFERROR(VLOOKUP(AB9,exercise,3,0),"")</f>
        <v/>
      </c>
      <c r="BG9">
        <f t="shared" ref="BG9:BG32" si="39">SUM(BB9:BF9)</f>
        <v>590</v>
      </c>
    </row>
    <row r="10" spans="1:61" x14ac:dyDescent="0.25">
      <c r="A10">
        <v>9</v>
      </c>
      <c r="B10" s="20">
        <v>44935</v>
      </c>
      <c r="C10" s="20" t="s">
        <v>208</v>
      </c>
      <c r="D10" s="2" t="s">
        <v>7</v>
      </c>
      <c r="E10" s="2" t="s">
        <v>192</v>
      </c>
      <c r="F10" s="2" t="s">
        <v>106</v>
      </c>
      <c r="I10" s="2" t="s">
        <v>102</v>
      </c>
      <c r="J10" s="2" t="s">
        <v>105</v>
      </c>
      <c r="K10" s="2" t="s">
        <v>105</v>
      </c>
      <c r="L10" s="2" t="s">
        <v>114</v>
      </c>
      <c r="N10" s="2" t="s">
        <v>54</v>
      </c>
      <c r="O10" s="2" t="s">
        <v>40</v>
      </c>
      <c r="S10" s="2" t="s">
        <v>74</v>
      </c>
      <c r="T10" s="2" t="s">
        <v>90</v>
      </c>
      <c r="X10" s="2" t="s">
        <v>187</v>
      </c>
      <c r="Y10" s="2" t="s">
        <v>189</v>
      </c>
      <c r="AD10">
        <f t="shared" si="10"/>
        <v>250</v>
      </c>
      <c r="AE10" t="str">
        <f t="shared" si="11"/>
        <v/>
      </c>
      <c r="AF10">
        <f t="shared" si="12"/>
        <v>170</v>
      </c>
      <c r="AG10" t="str">
        <f t="shared" si="13"/>
        <v/>
      </c>
      <c r="AH10" t="str">
        <f t="shared" si="14"/>
        <v/>
      </c>
      <c r="AI10">
        <f t="shared" si="15"/>
        <v>420</v>
      </c>
      <c r="AJ10">
        <f t="shared" si="16"/>
        <v>695</v>
      </c>
      <c r="AK10">
        <f t="shared" si="17"/>
        <v>80</v>
      </c>
      <c r="AL10">
        <f t="shared" si="18"/>
        <v>80</v>
      </c>
      <c r="AM10">
        <f t="shared" si="19"/>
        <v>280</v>
      </c>
      <c r="AN10" t="str">
        <f t="shared" si="20"/>
        <v/>
      </c>
      <c r="AO10">
        <f t="shared" si="21"/>
        <v>1135</v>
      </c>
      <c r="AP10">
        <f t="shared" si="22"/>
        <v>160</v>
      </c>
      <c r="AQ10">
        <f t="shared" si="23"/>
        <v>358</v>
      </c>
      <c r="AR10" t="str">
        <f t="shared" si="24"/>
        <v/>
      </c>
      <c r="AS10" t="str">
        <f t="shared" si="25"/>
        <v/>
      </c>
      <c r="AT10" t="str">
        <f t="shared" si="26"/>
        <v/>
      </c>
      <c r="AU10">
        <f t="shared" si="27"/>
        <v>518</v>
      </c>
      <c r="AV10">
        <f t="shared" si="28"/>
        <v>460</v>
      </c>
      <c r="AW10">
        <f t="shared" si="29"/>
        <v>243</v>
      </c>
      <c r="AX10" t="str">
        <f t="shared" si="30"/>
        <v/>
      </c>
      <c r="AY10" t="str">
        <f t="shared" si="31"/>
        <v/>
      </c>
      <c r="AZ10" t="str">
        <f t="shared" si="32"/>
        <v/>
      </c>
      <c r="BA10">
        <f t="shared" si="33"/>
        <v>703</v>
      </c>
      <c r="BB10">
        <f t="shared" si="34"/>
        <v>170</v>
      </c>
      <c r="BC10">
        <f t="shared" si="35"/>
        <v>350</v>
      </c>
      <c r="BD10" t="str">
        <f t="shared" si="36"/>
        <v/>
      </c>
      <c r="BE10" t="str">
        <f t="shared" si="37"/>
        <v/>
      </c>
      <c r="BF10" t="str">
        <f t="shared" si="38"/>
        <v/>
      </c>
      <c r="BG10">
        <f t="shared" si="39"/>
        <v>520</v>
      </c>
    </row>
    <row r="11" spans="1:61" x14ac:dyDescent="0.25">
      <c r="A11">
        <v>10</v>
      </c>
      <c r="B11" s="20">
        <v>44936</v>
      </c>
      <c r="C11" s="20" t="s">
        <v>209</v>
      </c>
      <c r="D11" s="2" t="s">
        <v>26</v>
      </c>
      <c r="E11" s="2" t="s">
        <v>28</v>
      </c>
      <c r="F11" s="2" t="s">
        <v>36</v>
      </c>
      <c r="G11" s="2" t="s">
        <v>50</v>
      </c>
      <c r="I11" s="2" t="s">
        <v>82</v>
      </c>
      <c r="J11" s="2" t="s">
        <v>82</v>
      </c>
      <c r="K11" s="2" t="s">
        <v>112</v>
      </c>
      <c r="N11" s="2" t="s">
        <v>30</v>
      </c>
      <c r="O11" s="2" t="s">
        <v>50</v>
      </c>
      <c r="P11" s="2" t="s">
        <v>34</v>
      </c>
      <c r="S11" s="2" t="s">
        <v>100</v>
      </c>
      <c r="T11" s="2" t="s">
        <v>100</v>
      </c>
      <c r="U11" s="2" t="s">
        <v>92</v>
      </c>
      <c r="V11" s="2" t="s">
        <v>92</v>
      </c>
      <c r="X11" s="2" t="s">
        <v>187</v>
      </c>
      <c r="Y11" s="2" t="s">
        <v>190</v>
      </c>
      <c r="Z11" s="2" t="s">
        <v>188</v>
      </c>
      <c r="AA11" s="2" t="s">
        <v>188</v>
      </c>
      <c r="AD11">
        <f t="shared" si="10"/>
        <v>10</v>
      </c>
      <c r="AE11">
        <f t="shared" si="11"/>
        <v>150</v>
      </c>
      <c r="AF11">
        <f t="shared" si="12"/>
        <v>310</v>
      </c>
      <c r="AG11">
        <f t="shared" si="13"/>
        <v>85</v>
      </c>
      <c r="AH11" t="str">
        <f t="shared" si="14"/>
        <v/>
      </c>
      <c r="AI11">
        <f t="shared" si="15"/>
        <v>555</v>
      </c>
      <c r="AJ11">
        <f t="shared" si="16"/>
        <v>331</v>
      </c>
      <c r="AK11">
        <f t="shared" si="17"/>
        <v>331</v>
      </c>
      <c r="AL11">
        <f t="shared" si="18"/>
        <v>152</v>
      </c>
      <c r="AM11" t="str">
        <f t="shared" si="19"/>
        <v/>
      </c>
      <c r="AN11" t="str">
        <f t="shared" si="20"/>
        <v/>
      </c>
      <c r="AO11">
        <f t="shared" si="21"/>
        <v>814</v>
      </c>
      <c r="AP11">
        <f t="shared" si="22"/>
        <v>150</v>
      </c>
      <c r="AQ11">
        <f t="shared" si="23"/>
        <v>85</v>
      </c>
      <c r="AR11">
        <f t="shared" si="24"/>
        <v>270</v>
      </c>
      <c r="AS11" t="str">
        <f t="shared" si="25"/>
        <v/>
      </c>
      <c r="AT11" t="str">
        <f t="shared" si="26"/>
        <v/>
      </c>
      <c r="AU11">
        <f t="shared" si="27"/>
        <v>505</v>
      </c>
      <c r="AV11">
        <f t="shared" si="28"/>
        <v>380</v>
      </c>
      <c r="AW11">
        <f t="shared" si="29"/>
        <v>380</v>
      </c>
      <c r="AX11">
        <f t="shared" si="30"/>
        <v>330</v>
      </c>
      <c r="AY11">
        <f t="shared" si="31"/>
        <v>330</v>
      </c>
      <c r="AZ11" t="str">
        <f t="shared" si="32"/>
        <v/>
      </c>
      <c r="BA11">
        <f t="shared" si="33"/>
        <v>1420</v>
      </c>
      <c r="BB11">
        <f t="shared" si="34"/>
        <v>170</v>
      </c>
      <c r="BC11">
        <f t="shared" si="35"/>
        <v>350</v>
      </c>
      <c r="BD11">
        <f t="shared" si="36"/>
        <v>350</v>
      </c>
      <c r="BE11">
        <f t="shared" si="37"/>
        <v>350</v>
      </c>
      <c r="BF11" t="str">
        <f t="shared" si="38"/>
        <v/>
      </c>
      <c r="BG11">
        <f t="shared" si="39"/>
        <v>1220</v>
      </c>
    </row>
    <row r="12" spans="1:61" x14ac:dyDescent="0.25">
      <c r="A12">
        <v>11</v>
      </c>
      <c r="B12" s="20">
        <v>44937</v>
      </c>
      <c r="C12" s="20" t="s">
        <v>210</v>
      </c>
      <c r="D12" s="2" t="s">
        <v>11</v>
      </c>
      <c r="E12" s="2" t="s">
        <v>36</v>
      </c>
      <c r="F12" s="2" t="s">
        <v>46</v>
      </c>
      <c r="I12" s="2" t="s">
        <v>98</v>
      </c>
      <c r="J12" s="2" t="s">
        <v>203</v>
      </c>
      <c r="K12" s="2" t="s">
        <v>203</v>
      </c>
      <c r="L12" s="2" t="s">
        <v>86</v>
      </c>
      <c r="N12" s="2" t="s">
        <v>38</v>
      </c>
      <c r="O12" s="2" t="s">
        <v>40</v>
      </c>
      <c r="P12" s="2" t="s">
        <v>50</v>
      </c>
      <c r="S12" s="2" t="s">
        <v>102</v>
      </c>
      <c r="T12" s="2" t="s">
        <v>42</v>
      </c>
      <c r="U12" s="2" t="s">
        <v>90</v>
      </c>
      <c r="V12" s="2" t="s">
        <v>203</v>
      </c>
      <c r="W12" s="2" t="s">
        <v>203</v>
      </c>
      <c r="X12" s="2" t="s">
        <v>187</v>
      </c>
      <c r="AD12">
        <f t="shared" si="10"/>
        <v>166</v>
      </c>
      <c r="AE12">
        <f t="shared" si="11"/>
        <v>310</v>
      </c>
      <c r="AF12">
        <f t="shared" si="12"/>
        <v>132</v>
      </c>
      <c r="AG12" t="str">
        <f t="shared" si="13"/>
        <v/>
      </c>
      <c r="AH12" t="str">
        <f t="shared" si="14"/>
        <v/>
      </c>
      <c r="AI12">
        <f t="shared" si="15"/>
        <v>608</v>
      </c>
      <c r="AJ12">
        <f t="shared" si="16"/>
        <v>420</v>
      </c>
      <c r="AK12" t="str">
        <f t="shared" si="17"/>
        <v/>
      </c>
      <c r="AL12" t="str">
        <f t="shared" si="18"/>
        <v/>
      </c>
      <c r="AM12">
        <f t="shared" si="19"/>
        <v>260</v>
      </c>
      <c r="AN12" t="str">
        <f t="shared" si="20"/>
        <v/>
      </c>
      <c r="AO12">
        <f t="shared" si="21"/>
        <v>680</v>
      </c>
      <c r="AP12">
        <f t="shared" si="22"/>
        <v>360</v>
      </c>
      <c r="AQ12">
        <f t="shared" si="23"/>
        <v>358</v>
      </c>
      <c r="AR12">
        <f t="shared" si="24"/>
        <v>85</v>
      </c>
      <c r="AS12" t="str">
        <f t="shared" si="25"/>
        <v/>
      </c>
      <c r="AT12" t="str">
        <f t="shared" si="26"/>
        <v/>
      </c>
      <c r="AU12">
        <f t="shared" si="27"/>
        <v>803</v>
      </c>
      <c r="AV12">
        <f t="shared" si="28"/>
        <v>695</v>
      </c>
      <c r="AW12">
        <f t="shared" si="29"/>
        <v>255</v>
      </c>
      <c r="AX12">
        <f t="shared" si="30"/>
        <v>243</v>
      </c>
      <c r="AY12" t="str">
        <f t="shared" si="31"/>
        <v/>
      </c>
      <c r="AZ12" t="str">
        <f t="shared" si="32"/>
        <v/>
      </c>
      <c r="BA12">
        <f t="shared" si="33"/>
        <v>1193</v>
      </c>
      <c r="BB12">
        <f t="shared" si="34"/>
        <v>170</v>
      </c>
      <c r="BC12" t="str">
        <f t="shared" si="35"/>
        <v/>
      </c>
      <c r="BD12" t="str">
        <f t="shared" si="36"/>
        <v/>
      </c>
      <c r="BE12" t="str">
        <f t="shared" si="37"/>
        <v/>
      </c>
      <c r="BF12" t="str">
        <f t="shared" si="38"/>
        <v/>
      </c>
      <c r="BG12">
        <f t="shared" si="39"/>
        <v>170</v>
      </c>
    </row>
    <row r="13" spans="1:61" x14ac:dyDescent="0.25">
      <c r="A13">
        <v>12</v>
      </c>
      <c r="B13" s="20">
        <v>44938</v>
      </c>
      <c r="C13" s="20" t="s">
        <v>211</v>
      </c>
      <c r="D13" s="2" t="s">
        <v>13</v>
      </c>
      <c r="E13" s="2" t="s">
        <v>17</v>
      </c>
      <c r="F13" s="2" t="s">
        <v>34</v>
      </c>
      <c r="I13" s="2" t="s">
        <v>205</v>
      </c>
      <c r="J13" s="2" t="s">
        <v>105</v>
      </c>
      <c r="K13" s="2" t="s">
        <v>105</v>
      </c>
      <c r="L13" s="2" t="s">
        <v>112</v>
      </c>
      <c r="M13" s="2" t="s">
        <v>84</v>
      </c>
      <c r="N13" s="2" t="s">
        <v>48</v>
      </c>
      <c r="O13" s="2" t="s">
        <v>34</v>
      </c>
      <c r="P13" s="2" t="s">
        <v>58</v>
      </c>
      <c r="Q13" s="2" t="s">
        <v>58</v>
      </c>
      <c r="R13" s="2" t="s">
        <v>58</v>
      </c>
      <c r="S13" s="2" t="s">
        <v>100</v>
      </c>
      <c r="T13" s="2" t="s">
        <v>100</v>
      </c>
      <c r="U13" s="2" t="s">
        <v>92</v>
      </c>
      <c r="V13" s="2" t="s">
        <v>92</v>
      </c>
      <c r="W13" s="2" t="s">
        <v>112</v>
      </c>
      <c r="X13" s="2" t="s">
        <v>187</v>
      </c>
      <c r="Y13" s="2" t="s">
        <v>191</v>
      </c>
      <c r="Z13" s="2" t="s">
        <v>214</v>
      </c>
      <c r="AD13">
        <f t="shared" si="10"/>
        <v>208</v>
      </c>
      <c r="AE13">
        <f t="shared" si="11"/>
        <v>227</v>
      </c>
      <c r="AF13">
        <f t="shared" si="12"/>
        <v>270</v>
      </c>
      <c r="AG13" t="str">
        <f t="shared" si="13"/>
        <v/>
      </c>
      <c r="AH13" t="str">
        <f t="shared" si="14"/>
        <v/>
      </c>
      <c r="AI13">
        <f t="shared" si="15"/>
        <v>705</v>
      </c>
      <c r="AJ13" t="str">
        <f t="shared" si="16"/>
        <v/>
      </c>
      <c r="AK13">
        <f t="shared" si="17"/>
        <v>80</v>
      </c>
      <c r="AL13">
        <f t="shared" si="18"/>
        <v>80</v>
      </c>
      <c r="AM13">
        <f t="shared" si="19"/>
        <v>152</v>
      </c>
      <c r="AN13">
        <f t="shared" si="20"/>
        <v>460</v>
      </c>
      <c r="AO13">
        <f t="shared" si="21"/>
        <v>772</v>
      </c>
      <c r="AP13">
        <f t="shared" si="22"/>
        <v>70</v>
      </c>
      <c r="AQ13">
        <f t="shared" si="23"/>
        <v>270</v>
      </c>
      <c r="AR13">
        <f t="shared" si="24"/>
        <v>65</v>
      </c>
      <c r="AS13">
        <f t="shared" si="25"/>
        <v>65</v>
      </c>
      <c r="AT13">
        <f t="shared" si="26"/>
        <v>65</v>
      </c>
      <c r="AU13">
        <f t="shared" si="27"/>
        <v>535</v>
      </c>
      <c r="AV13">
        <f t="shared" si="28"/>
        <v>380</v>
      </c>
      <c r="AW13">
        <f t="shared" si="29"/>
        <v>380</v>
      </c>
      <c r="AX13">
        <f t="shared" si="30"/>
        <v>330</v>
      </c>
      <c r="AY13">
        <f t="shared" si="31"/>
        <v>330</v>
      </c>
      <c r="AZ13">
        <f t="shared" si="32"/>
        <v>152</v>
      </c>
      <c r="BA13">
        <f t="shared" si="33"/>
        <v>1572</v>
      </c>
      <c r="BB13">
        <f t="shared" si="34"/>
        <v>170</v>
      </c>
      <c r="BC13">
        <f t="shared" si="35"/>
        <v>420</v>
      </c>
      <c r="BD13" t="str">
        <f t="shared" si="36"/>
        <v/>
      </c>
      <c r="BE13" t="str">
        <f t="shared" si="37"/>
        <v/>
      </c>
      <c r="BF13" t="str">
        <f t="shared" si="38"/>
        <v/>
      </c>
      <c r="BG13">
        <f t="shared" si="39"/>
        <v>590</v>
      </c>
    </row>
    <row r="14" spans="1:61" x14ac:dyDescent="0.25">
      <c r="A14">
        <v>13</v>
      </c>
      <c r="B14" s="20">
        <v>44939</v>
      </c>
      <c r="C14" s="20" t="s">
        <v>212</v>
      </c>
      <c r="D14" s="2" t="s">
        <v>1</v>
      </c>
      <c r="E14" s="2" t="s">
        <v>20</v>
      </c>
      <c r="F14" s="2" t="s">
        <v>30</v>
      </c>
      <c r="I14" s="2" t="s">
        <v>68</v>
      </c>
      <c r="J14" s="2" t="s">
        <v>100</v>
      </c>
      <c r="K14" s="2" t="s">
        <v>106</v>
      </c>
      <c r="L14" s="2" t="s">
        <v>110</v>
      </c>
      <c r="N14" s="2" t="s">
        <v>44</v>
      </c>
      <c r="O14" s="2" t="s">
        <v>46</v>
      </c>
      <c r="S14" s="2" t="s">
        <v>94</v>
      </c>
      <c r="T14" s="2" t="s">
        <v>76</v>
      </c>
      <c r="U14" s="2" t="s">
        <v>112</v>
      </c>
      <c r="X14" s="2" t="s">
        <v>187</v>
      </c>
      <c r="AD14">
        <f t="shared" si="10"/>
        <v>80</v>
      </c>
      <c r="AE14">
        <f t="shared" si="11"/>
        <v>22</v>
      </c>
      <c r="AF14">
        <f t="shared" si="12"/>
        <v>150</v>
      </c>
      <c r="AG14" t="str">
        <f t="shared" si="13"/>
        <v/>
      </c>
      <c r="AH14" t="str">
        <f t="shared" si="14"/>
        <v/>
      </c>
      <c r="AI14">
        <f t="shared" si="15"/>
        <v>252</v>
      </c>
      <c r="AJ14">
        <f t="shared" si="16"/>
        <v>675</v>
      </c>
      <c r="AK14">
        <f t="shared" si="17"/>
        <v>380</v>
      </c>
      <c r="AL14">
        <f t="shared" si="18"/>
        <v>170</v>
      </c>
      <c r="AM14">
        <f t="shared" si="19"/>
        <v>123</v>
      </c>
      <c r="AN14" t="str">
        <f t="shared" si="20"/>
        <v/>
      </c>
      <c r="AO14">
        <f t="shared" si="21"/>
        <v>1348</v>
      </c>
      <c r="AP14">
        <f t="shared" si="22"/>
        <v>75</v>
      </c>
      <c r="AQ14">
        <f t="shared" si="23"/>
        <v>132</v>
      </c>
      <c r="AR14" t="str">
        <f t="shared" si="24"/>
        <v/>
      </c>
      <c r="AS14" t="str">
        <f t="shared" si="25"/>
        <v/>
      </c>
      <c r="AT14" t="str">
        <f t="shared" si="26"/>
        <v/>
      </c>
      <c r="AU14">
        <f t="shared" si="27"/>
        <v>207</v>
      </c>
      <c r="AV14">
        <f t="shared" si="28"/>
        <v>230</v>
      </c>
      <c r="AW14">
        <f t="shared" si="29"/>
        <v>230</v>
      </c>
      <c r="AX14">
        <f t="shared" si="30"/>
        <v>152</v>
      </c>
      <c r="AY14" t="str">
        <f t="shared" si="31"/>
        <v/>
      </c>
      <c r="AZ14" t="str">
        <f t="shared" si="32"/>
        <v/>
      </c>
      <c r="BA14">
        <f t="shared" si="33"/>
        <v>612</v>
      </c>
      <c r="BB14">
        <f t="shared" si="34"/>
        <v>170</v>
      </c>
      <c r="BC14" t="str">
        <f t="shared" si="35"/>
        <v/>
      </c>
      <c r="BD14" t="str">
        <f t="shared" si="36"/>
        <v/>
      </c>
      <c r="BE14" t="str">
        <f t="shared" si="37"/>
        <v/>
      </c>
      <c r="BF14" t="str">
        <f t="shared" si="38"/>
        <v/>
      </c>
      <c r="BG14">
        <f t="shared" si="39"/>
        <v>170</v>
      </c>
    </row>
    <row r="15" spans="1:61" x14ac:dyDescent="0.25">
      <c r="A15">
        <v>14</v>
      </c>
      <c r="B15" s="20">
        <v>44940</v>
      </c>
      <c r="C15" s="20" t="s">
        <v>213</v>
      </c>
      <c r="D15" s="2" t="s">
        <v>13</v>
      </c>
      <c r="E15" s="2" t="s">
        <v>40</v>
      </c>
      <c r="F15" s="2" t="s">
        <v>28</v>
      </c>
      <c r="I15" s="2" t="s">
        <v>70</v>
      </c>
      <c r="J15" s="2" t="s">
        <v>92</v>
      </c>
      <c r="K15" s="2" t="s">
        <v>92</v>
      </c>
      <c r="L15" s="2" t="s">
        <v>105</v>
      </c>
      <c r="M15" s="2" t="s">
        <v>105</v>
      </c>
      <c r="N15" s="2" t="s">
        <v>120</v>
      </c>
      <c r="O15" s="2" t="s">
        <v>46</v>
      </c>
      <c r="P15" s="2" t="s">
        <v>46</v>
      </c>
      <c r="S15" s="2" t="s">
        <v>78</v>
      </c>
      <c r="T15" s="2" t="s">
        <v>112</v>
      </c>
      <c r="U15" s="2" t="s">
        <v>118</v>
      </c>
      <c r="X15" s="2" t="s">
        <v>187</v>
      </c>
      <c r="AD15">
        <f t="shared" si="10"/>
        <v>208</v>
      </c>
      <c r="AE15">
        <f t="shared" si="11"/>
        <v>358</v>
      </c>
      <c r="AF15">
        <f t="shared" si="12"/>
        <v>150</v>
      </c>
      <c r="AG15" t="str">
        <f t="shared" si="13"/>
        <v/>
      </c>
      <c r="AH15" t="str">
        <f t="shared" si="14"/>
        <v/>
      </c>
      <c r="AI15">
        <f t="shared" si="15"/>
        <v>716</v>
      </c>
      <c r="AJ15">
        <f t="shared" si="16"/>
        <v>620</v>
      </c>
      <c r="AK15">
        <f t="shared" si="17"/>
        <v>330</v>
      </c>
      <c r="AL15">
        <f t="shared" si="18"/>
        <v>330</v>
      </c>
      <c r="AM15">
        <f t="shared" si="19"/>
        <v>80</v>
      </c>
      <c r="AN15">
        <f t="shared" si="20"/>
        <v>80</v>
      </c>
      <c r="AO15">
        <f t="shared" si="21"/>
        <v>1440</v>
      </c>
      <c r="AP15">
        <f t="shared" si="22"/>
        <v>690</v>
      </c>
      <c r="AQ15">
        <f t="shared" si="23"/>
        <v>132</v>
      </c>
      <c r="AR15">
        <f t="shared" si="24"/>
        <v>132</v>
      </c>
      <c r="AS15" t="str">
        <f t="shared" si="25"/>
        <v/>
      </c>
      <c r="AT15" t="str">
        <f t="shared" si="26"/>
        <v/>
      </c>
      <c r="AU15">
        <f t="shared" si="27"/>
        <v>954</v>
      </c>
      <c r="AV15">
        <f t="shared" si="28"/>
        <v>695</v>
      </c>
      <c r="AW15">
        <f t="shared" si="29"/>
        <v>152</v>
      </c>
      <c r="AX15">
        <f t="shared" si="30"/>
        <v>325</v>
      </c>
      <c r="AY15" t="str">
        <f t="shared" si="31"/>
        <v/>
      </c>
      <c r="AZ15" t="str">
        <f t="shared" si="32"/>
        <v/>
      </c>
      <c r="BA15">
        <f t="shared" si="33"/>
        <v>1172</v>
      </c>
      <c r="BB15">
        <f t="shared" si="34"/>
        <v>170</v>
      </c>
      <c r="BC15" t="str">
        <f t="shared" si="35"/>
        <v/>
      </c>
      <c r="BD15" t="str">
        <f t="shared" si="36"/>
        <v/>
      </c>
      <c r="BE15" t="str">
        <f t="shared" si="37"/>
        <v/>
      </c>
      <c r="BF15" t="str">
        <f t="shared" si="38"/>
        <v/>
      </c>
      <c r="BG15">
        <f t="shared" si="39"/>
        <v>170</v>
      </c>
    </row>
    <row r="16" spans="1:61" x14ac:dyDescent="0.25">
      <c r="A16">
        <v>15</v>
      </c>
      <c r="B16" s="20">
        <v>44941</v>
      </c>
      <c r="C16" s="20" t="s">
        <v>207</v>
      </c>
      <c r="D16" s="2" t="s">
        <v>17</v>
      </c>
      <c r="E16" s="2" t="s">
        <v>24</v>
      </c>
      <c r="F16" s="2" t="s">
        <v>32</v>
      </c>
      <c r="G16" s="2" t="s">
        <v>40</v>
      </c>
      <c r="I16" s="2" t="s">
        <v>84</v>
      </c>
      <c r="J16" s="2" t="s">
        <v>84</v>
      </c>
      <c r="K16" s="2" t="s">
        <v>90</v>
      </c>
      <c r="L16" s="2" t="s">
        <v>42</v>
      </c>
      <c r="N16" s="2" t="s">
        <v>54</v>
      </c>
      <c r="O16" s="2" t="s">
        <v>56</v>
      </c>
      <c r="P16" s="2" t="s">
        <v>56</v>
      </c>
      <c r="Q16" s="2" t="s">
        <v>56</v>
      </c>
      <c r="R16" s="2" t="s">
        <v>120</v>
      </c>
      <c r="S16" s="2" t="s">
        <v>102</v>
      </c>
      <c r="T16" s="2" t="s">
        <v>112</v>
      </c>
      <c r="U16" s="2" t="s">
        <v>38</v>
      </c>
      <c r="X16" s="2" t="s">
        <v>190</v>
      </c>
      <c r="AD16">
        <f t="shared" si="10"/>
        <v>227</v>
      </c>
      <c r="AE16">
        <f t="shared" si="11"/>
        <v>40</v>
      </c>
      <c r="AF16">
        <f t="shared" si="12"/>
        <v>295</v>
      </c>
      <c r="AG16">
        <f t="shared" si="13"/>
        <v>358</v>
      </c>
      <c r="AH16" t="str">
        <f t="shared" si="14"/>
        <v/>
      </c>
      <c r="AI16">
        <f t="shared" si="15"/>
        <v>920</v>
      </c>
      <c r="AJ16">
        <f t="shared" si="16"/>
        <v>460</v>
      </c>
      <c r="AK16">
        <f t="shared" si="17"/>
        <v>460</v>
      </c>
      <c r="AL16">
        <f t="shared" si="18"/>
        <v>243</v>
      </c>
      <c r="AM16">
        <f t="shared" si="19"/>
        <v>255</v>
      </c>
      <c r="AN16" t="str">
        <f t="shared" si="20"/>
        <v/>
      </c>
      <c r="AO16">
        <f t="shared" si="21"/>
        <v>1418</v>
      </c>
      <c r="AP16">
        <f t="shared" si="22"/>
        <v>160</v>
      </c>
      <c r="AQ16">
        <f t="shared" si="23"/>
        <v>45</v>
      </c>
      <c r="AR16">
        <f t="shared" si="24"/>
        <v>45</v>
      </c>
      <c r="AS16">
        <f t="shared" si="25"/>
        <v>45</v>
      </c>
      <c r="AT16">
        <f t="shared" si="26"/>
        <v>690</v>
      </c>
      <c r="AU16">
        <f t="shared" si="27"/>
        <v>985</v>
      </c>
      <c r="AV16">
        <f t="shared" si="28"/>
        <v>695</v>
      </c>
      <c r="AW16">
        <f t="shared" si="29"/>
        <v>152</v>
      </c>
      <c r="AX16">
        <f t="shared" si="30"/>
        <v>360</v>
      </c>
      <c r="AY16" t="str">
        <f t="shared" si="31"/>
        <v/>
      </c>
      <c r="AZ16" t="str">
        <f t="shared" si="32"/>
        <v/>
      </c>
      <c r="BA16">
        <f t="shared" si="33"/>
        <v>1207</v>
      </c>
      <c r="BB16">
        <f t="shared" si="34"/>
        <v>350</v>
      </c>
      <c r="BC16" t="str">
        <f t="shared" si="35"/>
        <v/>
      </c>
      <c r="BD16" t="str">
        <f t="shared" si="36"/>
        <v/>
      </c>
      <c r="BE16" t="str">
        <f t="shared" si="37"/>
        <v/>
      </c>
      <c r="BF16" t="str">
        <f t="shared" si="38"/>
        <v/>
      </c>
      <c r="BG16">
        <f t="shared" si="39"/>
        <v>350</v>
      </c>
    </row>
    <row r="17" spans="1:59" x14ac:dyDescent="0.25">
      <c r="A17">
        <v>16</v>
      </c>
      <c r="B17" s="20">
        <v>44942</v>
      </c>
      <c r="C17" s="20" t="s">
        <v>208</v>
      </c>
      <c r="D17" s="2" t="s">
        <v>7</v>
      </c>
      <c r="E17" s="2" t="s">
        <v>24</v>
      </c>
      <c r="F17" s="2" t="s">
        <v>40</v>
      </c>
      <c r="G17" s="2" t="s">
        <v>46</v>
      </c>
      <c r="I17" s="2" t="s">
        <v>98</v>
      </c>
      <c r="J17" s="2" t="s">
        <v>215</v>
      </c>
      <c r="K17" s="2" t="s">
        <v>92</v>
      </c>
      <c r="L17" s="2" t="s">
        <v>34</v>
      </c>
      <c r="N17" s="2" t="s">
        <v>50</v>
      </c>
      <c r="O17" s="2" t="s">
        <v>34</v>
      </c>
      <c r="P17" s="2" t="s">
        <v>38</v>
      </c>
      <c r="S17" s="2" t="s">
        <v>64</v>
      </c>
      <c r="T17" s="2" t="s">
        <v>90</v>
      </c>
      <c r="U17" s="2" t="s">
        <v>92</v>
      </c>
      <c r="V17" s="2" t="s">
        <v>120</v>
      </c>
      <c r="X17" s="2" t="s">
        <v>190</v>
      </c>
      <c r="Y17" s="2" t="s">
        <v>191</v>
      </c>
      <c r="AD17">
        <f t="shared" si="10"/>
        <v>250</v>
      </c>
      <c r="AE17">
        <f t="shared" si="11"/>
        <v>40</v>
      </c>
      <c r="AF17">
        <f t="shared" si="12"/>
        <v>358</v>
      </c>
      <c r="AG17">
        <f t="shared" si="13"/>
        <v>132</v>
      </c>
      <c r="AH17" t="str">
        <f t="shared" si="14"/>
        <v/>
      </c>
      <c r="AI17">
        <f t="shared" si="15"/>
        <v>780</v>
      </c>
      <c r="AJ17">
        <f t="shared" si="16"/>
        <v>420</v>
      </c>
      <c r="AK17" t="str">
        <f t="shared" si="17"/>
        <v/>
      </c>
      <c r="AL17">
        <f t="shared" si="18"/>
        <v>330</v>
      </c>
      <c r="AM17">
        <f t="shared" si="19"/>
        <v>270</v>
      </c>
      <c r="AN17" t="str">
        <f t="shared" si="20"/>
        <v/>
      </c>
      <c r="AO17">
        <f t="shared" si="21"/>
        <v>1020</v>
      </c>
      <c r="AP17">
        <f t="shared" si="22"/>
        <v>85</v>
      </c>
      <c r="AQ17">
        <f t="shared" si="23"/>
        <v>270</v>
      </c>
      <c r="AR17">
        <f t="shared" si="24"/>
        <v>360</v>
      </c>
      <c r="AS17" t="str">
        <f t="shared" si="25"/>
        <v/>
      </c>
      <c r="AT17" t="str">
        <f t="shared" si="26"/>
        <v/>
      </c>
      <c r="AU17">
        <f t="shared" si="27"/>
        <v>715</v>
      </c>
      <c r="AV17">
        <f t="shared" si="28"/>
        <v>735</v>
      </c>
      <c r="AW17">
        <f t="shared" si="29"/>
        <v>243</v>
      </c>
      <c r="AX17">
        <f t="shared" si="30"/>
        <v>330</v>
      </c>
      <c r="AY17">
        <f t="shared" si="31"/>
        <v>690</v>
      </c>
      <c r="AZ17" t="str">
        <f t="shared" si="32"/>
        <v/>
      </c>
      <c r="BA17">
        <f t="shared" si="33"/>
        <v>1998</v>
      </c>
      <c r="BB17">
        <f t="shared" si="34"/>
        <v>350</v>
      </c>
      <c r="BC17">
        <f t="shared" si="35"/>
        <v>420</v>
      </c>
      <c r="BD17" t="str">
        <f t="shared" si="36"/>
        <v/>
      </c>
      <c r="BE17" t="str">
        <f t="shared" si="37"/>
        <v/>
      </c>
      <c r="BF17" t="str">
        <f t="shared" si="38"/>
        <v/>
      </c>
      <c r="BG17">
        <f t="shared" si="39"/>
        <v>770</v>
      </c>
    </row>
    <row r="18" spans="1:59" x14ac:dyDescent="0.25">
      <c r="A18">
        <v>17</v>
      </c>
      <c r="B18" s="20">
        <v>44943</v>
      </c>
      <c r="C18" s="20" t="s">
        <v>209</v>
      </c>
      <c r="D18" s="2" t="s">
        <v>1</v>
      </c>
      <c r="E18" s="2" t="s">
        <v>36</v>
      </c>
      <c r="I18" s="2" t="s">
        <v>205</v>
      </c>
      <c r="J18" s="2" t="s">
        <v>86</v>
      </c>
      <c r="N18" s="2" t="s">
        <v>42</v>
      </c>
      <c r="O18" s="2" t="s">
        <v>58</v>
      </c>
      <c r="P18" s="2" t="s">
        <v>58</v>
      </c>
      <c r="Q18" s="2" t="s">
        <v>58</v>
      </c>
      <c r="R18" s="2" t="s">
        <v>58</v>
      </c>
      <c r="S18" s="2" t="s">
        <v>216</v>
      </c>
      <c r="T18" s="2" t="s">
        <v>110</v>
      </c>
      <c r="U18" s="2" t="s">
        <v>78</v>
      </c>
      <c r="V18" s="2" t="s">
        <v>116</v>
      </c>
      <c r="X18" s="2" t="s">
        <v>190</v>
      </c>
      <c r="Y18" s="2" t="s">
        <v>189</v>
      </c>
      <c r="AD18">
        <f t="shared" si="10"/>
        <v>80</v>
      </c>
      <c r="AE18">
        <f t="shared" si="11"/>
        <v>310</v>
      </c>
      <c r="AF18" t="str">
        <f t="shared" si="12"/>
        <v/>
      </c>
      <c r="AG18" t="str">
        <f t="shared" si="13"/>
        <v/>
      </c>
      <c r="AH18" t="str">
        <f t="shared" si="14"/>
        <v/>
      </c>
      <c r="AI18">
        <f t="shared" si="15"/>
        <v>390</v>
      </c>
      <c r="AJ18" t="str">
        <f t="shared" si="16"/>
        <v/>
      </c>
      <c r="AK18">
        <f t="shared" si="17"/>
        <v>260</v>
      </c>
      <c r="AL18" t="str">
        <f t="shared" si="18"/>
        <v/>
      </c>
      <c r="AM18" t="str">
        <f t="shared" si="19"/>
        <v/>
      </c>
      <c r="AN18" t="str">
        <f t="shared" si="20"/>
        <v/>
      </c>
      <c r="AO18">
        <f t="shared" si="21"/>
        <v>260</v>
      </c>
      <c r="AP18">
        <f t="shared" si="22"/>
        <v>255</v>
      </c>
      <c r="AQ18">
        <f t="shared" si="23"/>
        <v>65</v>
      </c>
      <c r="AR18">
        <f t="shared" si="24"/>
        <v>65</v>
      </c>
      <c r="AS18">
        <f t="shared" si="25"/>
        <v>65</v>
      </c>
      <c r="AT18">
        <f t="shared" si="26"/>
        <v>65</v>
      </c>
      <c r="AU18">
        <f t="shared" si="27"/>
        <v>515</v>
      </c>
      <c r="AV18" t="str">
        <f t="shared" si="28"/>
        <v/>
      </c>
      <c r="AW18">
        <f t="shared" si="29"/>
        <v>123</v>
      </c>
      <c r="AX18">
        <f t="shared" si="30"/>
        <v>695</v>
      </c>
      <c r="AY18">
        <f t="shared" si="31"/>
        <v>360</v>
      </c>
      <c r="AZ18" t="str">
        <f t="shared" si="32"/>
        <v/>
      </c>
      <c r="BA18">
        <f t="shared" si="33"/>
        <v>1178</v>
      </c>
      <c r="BB18">
        <f t="shared" si="34"/>
        <v>350</v>
      </c>
      <c r="BC18">
        <f t="shared" si="35"/>
        <v>350</v>
      </c>
      <c r="BD18" t="str">
        <f t="shared" si="36"/>
        <v/>
      </c>
      <c r="BE18" t="str">
        <f t="shared" si="37"/>
        <v/>
      </c>
      <c r="BF18" t="str">
        <f t="shared" si="38"/>
        <v/>
      </c>
      <c r="BG18">
        <f t="shared" si="39"/>
        <v>700</v>
      </c>
    </row>
    <row r="19" spans="1:59" x14ac:dyDescent="0.25">
      <c r="A19">
        <v>18</v>
      </c>
      <c r="B19" s="20">
        <v>44944</v>
      </c>
      <c r="C19" s="20" t="s">
        <v>210</v>
      </c>
      <c r="D19" s="2" t="s">
        <v>15</v>
      </c>
      <c r="E19" s="2" t="s">
        <v>22</v>
      </c>
      <c r="F19" s="2" t="s">
        <v>38</v>
      </c>
      <c r="G19" s="2" t="s">
        <v>50</v>
      </c>
      <c r="I19" s="2" t="s">
        <v>205</v>
      </c>
      <c r="J19" s="2" t="s">
        <v>105</v>
      </c>
      <c r="K19" s="2" t="s">
        <v>112</v>
      </c>
      <c r="L19" s="2" t="s">
        <v>80</v>
      </c>
      <c r="M19" s="2" t="s">
        <v>114</v>
      </c>
      <c r="N19" s="2" t="s">
        <v>54</v>
      </c>
      <c r="O19" s="2" t="s">
        <v>40</v>
      </c>
      <c r="P19" s="2" t="s">
        <v>62</v>
      </c>
      <c r="S19" s="2" t="s">
        <v>202</v>
      </c>
      <c r="T19" s="2" t="s">
        <v>108</v>
      </c>
      <c r="U19" s="2" t="s">
        <v>106</v>
      </c>
      <c r="V19" s="2" t="s">
        <v>120</v>
      </c>
      <c r="X19" s="2" t="s">
        <v>188</v>
      </c>
      <c r="Y19" s="2" t="s">
        <v>189</v>
      </c>
      <c r="AD19">
        <f t="shared" si="10"/>
        <v>142</v>
      </c>
      <c r="AE19">
        <f t="shared" si="11"/>
        <v>44</v>
      </c>
      <c r="AF19">
        <f t="shared" si="12"/>
        <v>360</v>
      </c>
      <c r="AG19">
        <f t="shared" si="13"/>
        <v>85</v>
      </c>
      <c r="AH19" t="str">
        <f t="shared" si="14"/>
        <v/>
      </c>
      <c r="AI19">
        <f t="shared" si="15"/>
        <v>631</v>
      </c>
      <c r="AJ19" t="str">
        <f t="shared" si="16"/>
        <v/>
      </c>
      <c r="AK19">
        <f t="shared" si="17"/>
        <v>80</v>
      </c>
      <c r="AL19">
        <f t="shared" si="18"/>
        <v>152</v>
      </c>
      <c r="AM19">
        <f t="shared" si="19"/>
        <v>254</v>
      </c>
      <c r="AN19">
        <f t="shared" si="20"/>
        <v>280</v>
      </c>
      <c r="AO19">
        <f t="shared" si="21"/>
        <v>766</v>
      </c>
      <c r="AP19">
        <f t="shared" si="22"/>
        <v>160</v>
      </c>
      <c r="AQ19">
        <f t="shared" si="23"/>
        <v>358</v>
      </c>
      <c r="AR19">
        <f t="shared" si="24"/>
        <v>650</v>
      </c>
      <c r="AS19" t="str">
        <f t="shared" si="25"/>
        <v/>
      </c>
      <c r="AT19" t="str">
        <f t="shared" si="26"/>
        <v/>
      </c>
      <c r="AU19">
        <f t="shared" si="27"/>
        <v>1168</v>
      </c>
      <c r="AV19" t="str">
        <f t="shared" si="28"/>
        <v/>
      </c>
      <c r="AW19">
        <f t="shared" si="29"/>
        <v>143</v>
      </c>
      <c r="AX19">
        <f t="shared" si="30"/>
        <v>170</v>
      </c>
      <c r="AY19">
        <f t="shared" si="31"/>
        <v>690</v>
      </c>
      <c r="AZ19" t="str">
        <f t="shared" si="32"/>
        <v/>
      </c>
      <c r="BA19">
        <f t="shared" si="33"/>
        <v>1003</v>
      </c>
      <c r="BB19">
        <f t="shared" si="34"/>
        <v>350</v>
      </c>
      <c r="BC19">
        <f t="shared" si="35"/>
        <v>350</v>
      </c>
      <c r="BD19" t="str">
        <f t="shared" si="36"/>
        <v/>
      </c>
      <c r="BE19" t="str">
        <f t="shared" si="37"/>
        <v/>
      </c>
      <c r="BF19" t="str">
        <f t="shared" si="38"/>
        <v/>
      </c>
      <c r="BG19">
        <f t="shared" si="39"/>
        <v>700</v>
      </c>
    </row>
    <row r="20" spans="1:59" x14ac:dyDescent="0.25">
      <c r="A20">
        <v>19</v>
      </c>
      <c r="B20" s="20">
        <v>44945</v>
      </c>
      <c r="C20" s="20" t="s">
        <v>211</v>
      </c>
      <c r="D20" s="2" t="s">
        <v>7</v>
      </c>
      <c r="E20" s="2" t="s">
        <v>24</v>
      </c>
      <c r="I20" s="2" t="s">
        <v>98</v>
      </c>
      <c r="J20" s="2" t="s">
        <v>82</v>
      </c>
      <c r="K20" s="2" t="s">
        <v>44</v>
      </c>
      <c r="L20" s="2" t="s">
        <v>46</v>
      </c>
      <c r="N20" s="2" t="s">
        <v>42</v>
      </c>
      <c r="O20" s="2" t="s">
        <v>28</v>
      </c>
      <c r="S20" s="2" t="s">
        <v>100</v>
      </c>
      <c r="T20" s="2" t="s">
        <v>112</v>
      </c>
      <c r="U20" s="2" t="s">
        <v>114</v>
      </c>
      <c r="V20" s="2" t="s">
        <v>58</v>
      </c>
      <c r="X20" s="2" t="s">
        <v>187</v>
      </c>
      <c r="AD20">
        <f t="shared" si="10"/>
        <v>250</v>
      </c>
      <c r="AE20">
        <f t="shared" si="11"/>
        <v>40</v>
      </c>
      <c r="AF20" t="str">
        <f t="shared" si="12"/>
        <v/>
      </c>
      <c r="AG20" t="str">
        <f t="shared" si="13"/>
        <v/>
      </c>
      <c r="AH20" t="str">
        <f t="shared" si="14"/>
        <v/>
      </c>
      <c r="AI20">
        <f t="shared" si="15"/>
        <v>290</v>
      </c>
      <c r="AJ20">
        <f t="shared" si="16"/>
        <v>420</v>
      </c>
      <c r="AK20">
        <f t="shared" si="17"/>
        <v>331</v>
      </c>
      <c r="AL20">
        <f t="shared" si="18"/>
        <v>75</v>
      </c>
      <c r="AM20">
        <f t="shared" si="19"/>
        <v>132</v>
      </c>
      <c r="AN20" t="str">
        <f t="shared" si="20"/>
        <v/>
      </c>
      <c r="AO20">
        <f t="shared" si="21"/>
        <v>958</v>
      </c>
      <c r="AP20">
        <f t="shared" si="22"/>
        <v>255</v>
      </c>
      <c r="AQ20">
        <f t="shared" si="23"/>
        <v>150</v>
      </c>
      <c r="AR20" t="str">
        <f t="shared" si="24"/>
        <v/>
      </c>
      <c r="AS20" t="str">
        <f t="shared" si="25"/>
        <v/>
      </c>
      <c r="AT20" t="str">
        <f t="shared" si="26"/>
        <v/>
      </c>
      <c r="AU20">
        <f t="shared" si="27"/>
        <v>405</v>
      </c>
      <c r="AV20">
        <f t="shared" si="28"/>
        <v>380</v>
      </c>
      <c r="AW20">
        <f t="shared" si="29"/>
        <v>152</v>
      </c>
      <c r="AX20">
        <f t="shared" si="30"/>
        <v>280</v>
      </c>
      <c r="AY20">
        <f t="shared" si="31"/>
        <v>65</v>
      </c>
      <c r="AZ20" t="str">
        <f t="shared" si="32"/>
        <v/>
      </c>
      <c r="BA20">
        <f t="shared" si="33"/>
        <v>877</v>
      </c>
      <c r="BB20">
        <f t="shared" si="34"/>
        <v>170</v>
      </c>
      <c r="BC20" t="str">
        <f t="shared" si="35"/>
        <v/>
      </c>
      <c r="BD20" t="str">
        <f t="shared" si="36"/>
        <v/>
      </c>
      <c r="BE20" t="str">
        <f t="shared" si="37"/>
        <v/>
      </c>
      <c r="BF20" t="str">
        <f t="shared" si="38"/>
        <v/>
      </c>
      <c r="BG20">
        <f t="shared" si="39"/>
        <v>170</v>
      </c>
    </row>
    <row r="21" spans="1:59" x14ac:dyDescent="0.25">
      <c r="A21">
        <v>20</v>
      </c>
      <c r="B21" s="20">
        <v>44946</v>
      </c>
      <c r="C21" s="20" t="s">
        <v>212</v>
      </c>
      <c r="D21" s="2" t="s">
        <v>13</v>
      </c>
      <c r="E21" s="2" t="s">
        <v>1</v>
      </c>
      <c r="F21" s="2" t="s">
        <v>36</v>
      </c>
      <c r="G21" s="2" t="s">
        <v>50</v>
      </c>
      <c r="I21" s="2" t="s">
        <v>78</v>
      </c>
      <c r="J21" s="2" t="s">
        <v>110</v>
      </c>
      <c r="K21" s="2" t="s">
        <v>114</v>
      </c>
      <c r="L21" s="2" t="s">
        <v>17</v>
      </c>
      <c r="N21" s="2" t="s">
        <v>40</v>
      </c>
      <c r="O21" s="2" t="s">
        <v>60</v>
      </c>
      <c r="P21" s="2" t="s">
        <v>118</v>
      </c>
      <c r="S21" s="2" t="s">
        <v>202</v>
      </c>
      <c r="T21" s="2" t="s">
        <v>92</v>
      </c>
      <c r="U21" s="2" t="s">
        <v>84</v>
      </c>
      <c r="X21" s="2" t="s">
        <v>191</v>
      </c>
      <c r="Y21" s="2" t="s">
        <v>190</v>
      </c>
      <c r="AD21">
        <f t="shared" si="10"/>
        <v>208</v>
      </c>
      <c r="AE21">
        <f t="shared" si="11"/>
        <v>80</v>
      </c>
      <c r="AF21">
        <f t="shared" si="12"/>
        <v>310</v>
      </c>
      <c r="AG21">
        <f t="shared" si="13"/>
        <v>85</v>
      </c>
      <c r="AH21" t="str">
        <f t="shared" si="14"/>
        <v/>
      </c>
      <c r="AI21">
        <f t="shared" si="15"/>
        <v>683</v>
      </c>
      <c r="AJ21">
        <f t="shared" si="16"/>
        <v>695</v>
      </c>
      <c r="AK21">
        <f t="shared" si="17"/>
        <v>123</v>
      </c>
      <c r="AL21">
        <f t="shared" si="18"/>
        <v>280</v>
      </c>
      <c r="AM21">
        <f t="shared" si="19"/>
        <v>227</v>
      </c>
      <c r="AN21" t="str">
        <f t="shared" si="20"/>
        <v/>
      </c>
      <c r="AO21">
        <f t="shared" si="21"/>
        <v>1325</v>
      </c>
      <c r="AP21">
        <f t="shared" si="22"/>
        <v>358</v>
      </c>
      <c r="AQ21">
        <f t="shared" si="23"/>
        <v>165</v>
      </c>
      <c r="AR21">
        <f t="shared" si="24"/>
        <v>325</v>
      </c>
      <c r="AS21" t="str">
        <f t="shared" si="25"/>
        <v/>
      </c>
      <c r="AT21" t="str">
        <f t="shared" si="26"/>
        <v/>
      </c>
      <c r="AU21">
        <f t="shared" si="27"/>
        <v>848</v>
      </c>
      <c r="AV21" t="str">
        <f t="shared" si="28"/>
        <v/>
      </c>
      <c r="AW21">
        <f t="shared" si="29"/>
        <v>330</v>
      </c>
      <c r="AX21">
        <f t="shared" si="30"/>
        <v>460</v>
      </c>
      <c r="AY21" t="str">
        <f t="shared" si="31"/>
        <v/>
      </c>
      <c r="AZ21" t="str">
        <f t="shared" si="32"/>
        <v/>
      </c>
      <c r="BA21">
        <f t="shared" si="33"/>
        <v>790</v>
      </c>
      <c r="BB21">
        <f t="shared" si="34"/>
        <v>420</v>
      </c>
      <c r="BC21">
        <f t="shared" si="35"/>
        <v>350</v>
      </c>
      <c r="BD21" t="str">
        <f t="shared" si="36"/>
        <v/>
      </c>
      <c r="BE21" t="str">
        <f t="shared" si="37"/>
        <v/>
      </c>
      <c r="BF21" t="str">
        <f t="shared" si="38"/>
        <v/>
      </c>
      <c r="BG21">
        <f t="shared" si="39"/>
        <v>770</v>
      </c>
    </row>
    <row r="22" spans="1:59" x14ac:dyDescent="0.25">
      <c r="A22">
        <v>21</v>
      </c>
      <c r="B22" s="20">
        <v>44947</v>
      </c>
      <c r="C22" s="20" t="s">
        <v>207</v>
      </c>
      <c r="D22" s="2" t="s">
        <v>13</v>
      </c>
      <c r="E22" s="2" t="s">
        <v>40</v>
      </c>
      <c r="F22" s="2" t="s">
        <v>48</v>
      </c>
      <c r="G22" s="2" t="s">
        <v>50</v>
      </c>
      <c r="I22" s="2" t="s">
        <v>78</v>
      </c>
      <c r="J22" s="2" t="s">
        <v>92</v>
      </c>
      <c r="K22" s="2" t="s">
        <v>92</v>
      </c>
      <c r="L22" s="2" t="s">
        <v>116</v>
      </c>
      <c r="N22" s="2" t="s">
        <v>32</v>
      </c>
      <c r="O22" s="2" t="s">
        <v>62</v>
      </c>
      <c r="P22" s="2" t="s">
        <v>36</v>
      </c>
      <c r="S22" s="2" t="s">
        <v>84</v>
      </c>
      <c r="T22" s="2" t="s">
        <v>68</v>
      </c>
      <c r="U22" s="2" t="s">
        <v>112</v>
      </c>
      <c r="V22" s="2" t="s">
        <v>118</v>
      </c>
      <c r="X22" s="2" t="s">
        <v>191</v>
      </c>
      <c r="Y22" s="2" t="s">
        <v>188</v>
      </c>
      <c r="AD22">
        <f t="shared" si="10"/>
        <v>208</v>
      </c>
      <c r="AE22">
        <f t="shared" si="11"/>
        <v>358</v>
      </c>
      <c r="AF22">
        <f t="shared" si="12"/>
        <v>70</v>
      </c>
      <c r="AG22">
        <f t="shared" si="13"/>
        <v>85</v>
      </c>
      <c r="AH22" t="str">
        <f t="shared" si="14"/>
        <v/>
      </c>
      <c r="AI22">
        <f t="shared" si="15"/>
        <v>721</v>
      </c>
      <c r="AJ22">
        <f t="shared" si="16"/>
        <v>695</v>
      </c>
      <c r="AK22">
        <f t="shared" si="17"/>
        <v>330</v>
      </c>
      <c r="AL22">
        <f t="shared" si="18"/>
        <v>330</v>
      </c>
      <c r="AM22">
        <f t="shared" si="19"/>
        <v>360</v>
      </c>
      <c r="AN22" t="str">
        <f t="shared" si="20"/>
        <v/>
      </c>
      <c r="AO22">
        <f t="shared" si="21"/>
        <v>1715</v>
      </c>
      <c r="AP22">
        <f t="shared" si="22"/>
        <v>295</v>
      </c>
      <c r="AQ22">
        <f t="shared" si="23"/>
        <v>650</v>
      </c>
      <c r="AR22">
        <f t="shared" si="24"/>
        <v>310</v>
      </c>
      <c r="AS22" t="str">
        <f t="shared" si="25"/>
        <v/>
      </c>
      <c r="AT22" t="str">
        <f t="shared" si="26"/>
        <v/>
      </c>
      <c r="AU22">
        <f t="shared" si="27"/>
        <v>1255</v>
      </c>
      <c r="AV22">
        <f t="shared" si="28"/>
        <v>460</v>
      </c>
      <c r="AW22">
        <f t="shared" si="29"/>
        <v>675</v>
      </c>
      <c r="AX22">
        <f t="shared" si="30"/>
        <v>152</v>
      </c>
      <c r="AY22">
        <f t="shared" si="31"/>
        <v>325</v>
      </c>
      <c r="AZ22" t="str">
        <f t="shared" si="32"/>
        <v/>
      </c>
      <c r="BA22">
        <f t="shared" si="33"/>
        <v>1612</v>
      </c>
      <c r="BB22">
        <f t="shared" si="34"/>
        <v>420</v>
      </c>
      <c r="BC22">
        <f t="shared" si="35"/>
        <v>350</v>
      </c>
      <c r="BD22" t="str">
        <f t="shared" si="36"/>
        <v/>
      </c>
      <c r="BE22" t="str">
        <f t="shared" si="37"/>
        <v/>
      </c>
      <c r="BF22" t="str">
        <f t="shared" si="38"/>
        <v/>
      </c>
      <c r="BG22">
        <f t="shared" si="39"/>
        <v>770</v>
      </c>
    </row>
    <row r="23" spans="1:59" x14ac:dyDescent="0.25">
      <c r="A23">
        <v>22</v>
      </c>
      <c r="B23" s="20">
        <v>44948</v>
      </c>
      <c r="C23" s="20" t="s">
        <v>213</v>
      </c>
      <c r="D23" s="2" t="s">
        <v>1</v>
      </c>
      <c r="E23" s="2" t="s">
        <v>24</v>
      </c>
      <c r="F23" s="2" t="s">
        <v>105</v>
      </c>
      <c r="I23" s="2" t="s">
        <v>74</v>
      </c>
      <c r="J23" s="2" t="s">
        <v>110</v>
      </c>
      <c r="K23" s="2" t="s">
        <v>54</v>
      </c>
      <c r="N23" s="2" t="s">
        <v>17</v>
      </c>
      <c r="O23" s="2" t="s">
        <v>36</v>
      </c>
      <c r="P23" s="2" t="s">
        <v>40</v>
      </c>
      <c r="S23" s="2" t="s">
        <v>100</v>
      </c>
      <c r="T23" s="2" t="s">
        <v>110</v>
      </c>
      <c r="U23" s="2" t="s">
        <v>105</v>
      </c>
      <c r="V23" s="2" t="s">
        <v>46</v>
      </c>
      <c r="X23" s="2" t="s">
        <v>187</v>
      </c>
      <c r="AD23">
        <f t="shared" si="10"/>
        <v>80</v>
      </c>
      <c r="AE23">
        <f t="shared" si="11"/>
        <v>40</v>
      </c>
      <c r="AF23">
        <f t="shared" si="12"/>
        <v>80</v>
      </c>
      <c r="AG23" t="str">
        <f t="shared" si="13"/>
        <v/>
      </c>
      <c r="AH23" t="str">
        <f t="shared" si="14"/>
        <v/>
      </c>
      <c r="AI23">
        <f t="shared" si="15"/>
        <v>200</v>
      </c>
      <c r="AJ23">
        <f t="shared" si="16"/>
        <v>460</v>
      </c>
      <c r="AK23">
        <f t="shared" si="17"/>
        <v>123</v>
      </c>
      <c r="AL23">
        <f t="shared" si="18"/>
        <v>160</v>
      </c>
      <c r="AM23" t="str">
        <f t="shared" si="19"/>
        <v/>
      </c>
      <c r="AN23" t="str">
        <f t="shared" si="20"/>
        <v/>
      </c>
      <c r="AO23">
        <f t="shared" si="21"/>
        <v>743</v>
      </c>
      <c r="AP23">
        <f t="shared" si="22"/>
        <v>227</v>
      </c>
      <c r="AQ23">
        <f t="shared" si="23"/>
        <v>310</v>
      </c>
      <c r="AR23">
        <f t="shared" si="24"/>
        <v>358</v>
      </c>
      <c r="AS23" t="str">
        <f t="shared" si="25"/>
        <v/>
      </c>
      <c r="AT23" t="str">
        <f t="shared" si="26"/>
        <v/>
      </c>
      <c r="AU23">
        <f t="shared" si="27"/>
        <v>895</v>
      </c>
      <c r="AV23">
        <f t="shared" si="28"/>
        <v>380</v>
      </c>
      <c r="AW23">
        <f t="shared" si="29"/>
        <v>123</v>
      </c>
      <c r="AX23">
        <f t="shared" si="30"/>
        <v>80</v>
      </c>
      <c r="AY23">
        <f t="shared" si="31"/>
        <v>132</v>
      </c>
      <c r="AZ23" t="str">
        <f t="shared" si="32"/>
        <v/>
      </c>
      <c r="BA23">
        <f t="shared" si="33"/>
        <v>715</v>
      </c>
      <c r="BB23">
        <f t="shared" si="34"/>
        <v>170</v>
      </c>
      <c r="BC23" t="str">
        <f t="shared" si="35"/>
        <v/>
      </c>
      <c r="BD23" t="str">
        <f t="shared" si="36"/>
        <v/>
      </c>
      <c r="BE23" t="str">
        <f t="shared" si="37"/>
        <v/>
      </c>
      <c r="BF23" t="str">
        <f t="shared" si="38"/>
        <v/>
      </c>
      <c r="BG23">
        <f t="shared" si="39"/>
        <v>170</v>
      </c>
    </row>
    <row r="24" spans="1:59" x14ac:dyDescent="0.25">
      <c r="A24">
        <v>23</v>
      </c>
      <c r="B24" s="20">
        <v>43853</v>
      </c>
      <c r="C24" s="20" t="s">
        <v>208</v>
      </c>
      <c r="D24" s="2" t="s">
        <v>7</v>
      </c>
      <c r="E24" s="2" t="s">
        <v>40</v>
      </c>
      <c r="F24" s="2" t="s">
        <v>11</v>
      </c>
      <c r="I24" s="2" t="s">
        <v>70</v>
      </c>
      <c r="J24" s="2" t="s">
        <v>84</v>
      </c>
      <c r="K24" s="2" t="s">
        <v>108</v>
      </c>
      <c r="L24" s="2" t="s">
        <v>106</v>
      </c>
      <c r="M24" s="2" t="s">
        <v>114</v>
      </c>
      <c r="N24" s="2" t="s">
        <v>62</v>
      </c>
      <c r="O24" s="2" t="s">
        <v>54</v>
      </c>
      <c r="P24" s="2" t="s">
        <v>38</v>
      </c>
      <c r="S24" s="2" t="s">
        <v>102</v>
      </c>
      <c r="T24" s="2" t="s">
        <v>112</v>
      </c>
      <c r="U24" s="2" t="s">
        <v>92</v>
      </c>
      <c r="V24" s="2" t="s">
        <v>17</v>
      </c>
      <c r="X24" s="2" t="s">
        <v>190</v>
      </c>
      <c r="Y24" s="2" t="s">
        <v>191</v>
      </c>
      <c r="Z24" s="2" t="s">
        <v>189</v>
      </c>
      <c r="AD24">
        <f t="shared" si="10"/>
        <v>250</v>
      </c>
      <c r="AE24">
        <f t="shared" si="11"/>
        <v>358</v>
      </c>
      <c r="AF24">
        <f t="shared" si="12"/>
        <v>166</v>
      </c>
      <c r="AG24" t="str">
        <f t="shared" si="13"/>
        <v/>
      </c>
      <c r="AH24" t="str">
        <f t="shared" si="14"/>
        <v/>
      </c>
      <c r="AI24">
        <f t="shared" si="15"/>
        <v>774</v>
      </c>
      <c r="AJ24">
        <f t="shared" si="16"/>
        <v>620</v>
      </c>
      <c r="AK24">
        <f t="shared" si="17"/>
        <v>460</v>
      </c>
      <c r="AL24">
        <f t="shared" si="18"/>
        <v>143</v>
      </c>
      <c r="AM24">
        <f t="shared" si="19"/>
        <v>170</v>
      </c>
      <c r="AN24">
        <f t="shared" si="20"/>
        <v>280</v>
      </c>
      <c r="AO24">
        <f t="shared" si="21"/>
        <v>1673</v>
      </c>
      <c r="AP24">
        <f t="shared" si="22"/>
        <v>650</v>
      </c>
      <c r="AQ24">
        <f t="shared" si="23"/>
        <v>160</v>
      </c>
      <c r="AR24">
        <f t="shared" si="24"/>
        <v>360</v>
      </c>
      <c r="AS24" t="str">
        <f t="shared" si="25"/>
        <v/>
      </c>
      <c r="AT24" t="str">
        <f t="shared" si="26"/>
        <v/>
      </c>
      <c r="AU24">
        <f t="shared" si="27"/>
        <v>1170</v>
      </c>
      <c r="AV24">
        <f t="shared" si="28"/>
        <v>695</v>
      </c>
      <c r="AW24">
        <f t="shared" si="29"/>
        <v>152</v>
      </c>
      <c r="AX24">
        <f t="shared" si="30"/>
        <v>330</v>
      </c>
      <c r="AY24">
        <f t="shared" si="31"/>
        <v>227</v>
      </c>
      <c r="AZ24" t="str">
        <f t="shared" si="32"/>
        <v/>
      </c>
      <c r="BA24">
        <f t="shared" si="33"/>
        <v>1404</v>
      </c>
      <c r="BB24">
        <f t="shared" si="34"/>
        <v>350</v>
      </c>
      <c r="BC24">
        <f t="shared" si="35"/>
        <v>420</v>
      </c>
      <c r="BD24">
        <f t="shared" si="36"/>
        <v>350</v>
      </c>
      <c r="BE24" t="str">
        <f t="shared" si="37"/>
        <v/>
      </c>
      <c r="BF24" t="str">
        <f t="shared" si="38"/>
        <v/>
      </c>
      <c r="BG24">
        <f t="shared" si="39"/>
        <v>1120</v>
      </c>
    </row>
    <row r="25" spans="1:59" x14ac:dyDescent="0.25">
      <c r="A25">
        <v>24</v>
      </c>
      <c r="B25" s="20">
        <v>44950</v>
      </c>
      <c r="C25" s="20" t="s">
        <v>209</v>
      </c>
      <c r="D25" s="2" t="s">
        <v>40</v>
      </c>
      <c r="E25" s="2" t="s">
        <v>192</v>
      </c>
      <c r="I25" s="2" t="s">
        <v>74</v>
      </c>
      <c r="J25" s="2" t="s">
        <v>105</v>
      </c>
      <c r="K25" s="2" t="s">
        <v>112</v>
      </c>
      <c r="L25" s="2" t="s">
        <v>88</v>
      </c>
      <c r="N25" s="2" t="s">
        <v>42</v>
      </c>
      <c r="O25" s="2" t="s">
        <v>62</v>
      </c>
      <c r="S25" s="2" t="s">
        <v>90</v>
      </c>
      <c r="T25" s="2" t="s">
        <v>84</v>
      </c>
      <c r="U25" s="2" t="s">
        <v>92</v>
      </c>
      <c r="V25" s="2" t="s">
        <v>116</v>
      </c>
      <c r="X25" s="2" t="s">
        <v>188</v>
      </c>
      <c r="AD25">
        <f t="shared" si="10"/>
        <v>358</v>
      </c>
      <c r="AE25" t="str">
        <f t="shared" si="11"/>
        <v/>
      </c>
      <c r="AF25" t="str">
        <f t="shared" si="12"/>
        <v/>
      </c>
      <c r="AG25" t="str">
        <f t="shared" si="13"/>
        <v/>
      </c>
      <c r="AH25" t="str">
        <f t="shared" si="14"/>
        <v/>
      </c>
      <c r="AI25">
        <f t="shared" si="15"/>
        <v>358</v>
      </c>
      <c r="AJ25">
        <f t="shared" si="16"/>
        <v>460</v>
      </c>
      <c r="AK25">
        <f t="shared" si="17"/>
        <v>80</v>
      </c>
      <c r="AL25">
        <f t="shared" si="18"/>
        <v>152</v>
      </c>
      <c r="AM25">
        <f t="shared" si="19"/>
        <v>182</v>
      </c>
      <c r="AN25" t="str">
        <f t="shared" si="20"/>
        <v/>
      </c>
      <c r="AO25">
        <f t="shared" si="21"/>
        <v>874</v>
      </c>
      <c r="AP25">
        <f t="shared" si="22"/>
        <v>255</v>
      </c>
      <c r="AQ25">
        <f t="shared" si="23"/>
        <v>650</v>
      </c>
      <c r="AR25" t="str">
        <f t="shared" si="24"/>
        <v/>
      </c>
      <c r="AS25" t="str">
        <f t="shared" si="25"/>
        <v/>
      </c>
      <c r="AT25" t="str">
        <f t="shared" si="26"/>
        <v/>
      </c>
      <c r="AU25">
        <f t="shared" si="27"/>
        <v>905</v>
      </c>
      <c r="AV25">
        <f t="shared" si="28"/>
        <v>243</v>
      </c>
      <c r="AW25">
        <f t="shared" si="29"/>
        <v>460</v>
      </c>
      <c r="AX25">
        <f t="shared" si="30"/>
        <v>330</v>
      </c>
      <c r="AY25">
        <f t="shared" si="31"/>
        <v>360</v>
      </c>
      <c r="AZ25" t="str">
        <f t="shared" si="32"/>
        <v/>
      </c>
      <c r="BA25">
        <f t="shared" si="33"/>
        <v>1393</v>
      </c>
      <c r="BB25">
        <f t="shared" si="34"/>
        <v>350</v>
      </c>
      <c r="BC25" t="str">
        <f t="shared" si="35"/>
        <v/>
      </c>
      <c r="BD25" t="str">
        <f t="shared" si="36"/>
        <v/>
      </c>
      <c r="BE25" t="str">
        <f t="shared" si="37"/>
        <v/>
      </c>
      <c r="BF25" t="str">
        <f t="shared" si="38"/>
        <v/>
      </c>
      <c r="BG25">
        <f t="shared" si="39"/>
        <v>350</v>
      </c>
    </row>
    <row r="26" spans="1:59" x14ac:dyDescent="0.25">
      <c r="A26">
        <v>25</v>
      </c>
      <c r="B26" s="20">
        <v>44951</v>
      </c>
      <c r="C26" s="20" t="s">
        <v>210</v>
      </c>
      <c r="D26" s="2" t="s">
        <v>30</v>
      </c>
      <c r="E26" s="2" t="s">
        <v>13</v>
      </c>
      <c r="F26" s="2" t="s">
        <v>46</v>
      </c>
      <c r="I26" s="2" t="s">
        <v>86</v>
      </c>
      <c r="J26" s="2" t="s">
        <v>90</v>
      </c>
      <c r="K26" s="2" t="s">
        <v>106</v>
      </c>
      <c r="L26" s="2" t="s">
        <v>92</v>
      </c>
      <c r="M26" s="2" t="s">
        <v>38</v>
      </c>
      <c r="N26" s="2" t="s">
        <v>42</v>
      </c>
      <c r="O26" s="2" t="s">
        <v>62</v>
      </c>
      <c r="S26" s="2" t="s">
        <v>202</v>
      </c>
      <c r="T26" s="2" t="s">
        <v>80</v>
      </c>
      <c r="U26" s="2" t="s">
        <v>92</v>
      </c>
      <c r="X26" s="2" t="s">
        <v>191</v>
      </c>
      <c r="AD26">
        <f t="shared" si="10"/>
        <v>150</v>
      </c>
      <c r="AE26">
        <f t="shared" si="11"/>
        <v>208</v>
      </c>
      <c r="AF26">
        <f t="shared" si="12"/>
        <v>132</v>
      </c>
      <c r="AG26" t="str">
        <f t="shared" si="13"/>
        <v/>
      </c>
      <c r="AH26" t="str">
        <f t="shared" si="14"/>
        <v/>
      </c>
      <c r="AI26">
        <f t="shared" si="15"/>
        <v>490</v>
      </c>
      <c r="AJ26">
        <f t="shared" si="16"/>
        <v>260</v>
      </c>
      <c r="AK26">
        <f t="shared" si="17"/>
        <v>243</v>
      </c>
      <c r="AL26">
        <f t="shared" si="18"/>
        <v>170</v>
      </c>
      <c r="AM26">
        <f t="shared" si="19"/>
        <v>330</v>
      </c>
      <c r="AN26">
        <f t="shared" si="20"/>
        <v>360</v>
      </c>
      <c r="AO26">
        <f t="shared" si="21"/>
        <v>1363</v>
      </c>
      <c r="AP26">
        <f t="shared" si="22"/>
        <v>255</v>
      </c>
      <c r="AQ26">
        <f t="shared" si="23"/>
        <v>650</v>
      </c>
      <c r="AR26" t="str">
        <f t="shared" si="24"/>
        <v/>
      </c>
      <c r="AS26" t="str">
        <f t="shared" si="25"/>
        <v/>
      </c>
      <c r="AT26" t="str">
        <f t="shared" si="26"/>
        <v/>
      </c>
      <c r="AU26">
        <f t="shared" si="27"/>
        <v>905</v>
      </c>
      <c r="AV26" t="str">
        <f t="shared" si="28"/>
        <v/>
      </c>
      <c r="AW26">
        <f t="shared" si="29"/>
        <v>254</v>
      </c>
      <c r="AX26">
        <f t="shared" si="30"/>
        <v>330</v>
      </c>
      <c r="AY26" t="str">
        <f t="shared" si="31"/>
        <v/>
      </c>
      <c r="AZ26" t="str">
        <f t="shared" si="32"/>
        <v/>
      </c>
      <c r="BA26">
        <f t="shared" si="33"/>
        <v>584</v>
      </c>
      <c r="BB26">
        <f t="shared" si="34"/>
        <v>420</v>
      </c>
      <c r="BC26" t="str">
        <f t="shared" si="35"/>
        <v/>
      </c>
      <c r="BD26" t="str">
        <f t="shared" si="36"/>
        <v/>
      </c>
      <c r="BE26" t="str">
        <f t="shared" si="37"/>
        <v/>
      </c>
      <c r="BF26" t="str">
        <f t="shared" si="38"/>
        <v/>
      </c>
      <c r="BG26">
        <f t="shared" si="39"/>
        <v>420</v>
      </c>
    </row>
    <row r="27" spans="1:59" x14ac:dyDescent="0.25">
      <c r="A27">
        <v>26</v>
      </c>
      <c r="B27" s="20">
        <v>44952</v>
      </c>
      <c r="C27" s="20" t="s">
        <v>211</v>
      </c>
      <c r="D27" s="2" t="s">
        <v>7</v>
      </c>
      <c r="E27" s="2" t="s">
        <v>106</v>
      </c>
      <c r="F27" s="2" t="s">
        <v>34</v>
      </c>
      <c r="G27" s="2" t="s">
        <v>24</v>
      </c>
      <c r="I27" s="2" t="s">
        <v>98</v>
      </c>
      <c r="J27" s="2" t="s">
        <v>112</v>
      </c>
      <c r="K27" s="2" t="s">
        <v>84</v>
      </c>
      <c r="L27" s="2" t="s">
        <v>38</v>
      </c>
      <c r="N27" s="2" t="s">
        <v>50</v>
      </c>
      <c r="O27" s="2" t="s">
        <v>54</v>
      </c>
      <c r="P27" s="2" t="s">
        <v>120</v>
      </c>
      <c r="S27" s="2" t="s">
        <v>78</v>
      </c>
      <c r="T27" s="2" t="s">
        <v>92</v>
      </c>
      <c r="U27" s="2" t="s">
        <v>106</v>
      </c>
      <c r="V27" s="2" t="s">
        <v>114</v>
      </c>
      <c r="X27" s="2" t="s">
        <v>187</v>
      </c>
      <c r="AD27">
        <f t="shared" si="10"/>
        <v>250</v>
      </c>
      <c r="AE27">
        <f t="shared" si="11"/>
        <v>170</v>
      </c>
      <c r="AF27">
        <f t="shared" si="12"/>
        <v>270</v>
      </c>
      <c r="AG27">
        <f t="shared" si="13"/>
        <v>40</v>
      </c>
      <c r="AH27" t="str">
        <f t="shared" si="14"/>
        <v/>
      </c>
      <c r="AI27">
        <f t="shared" si="15"/>
        <v>730</v>
      </c>
      <c r="AJ27">
        <f t="shared" si="16"/>
        <v>420</v>
      </c>
      <c r="AK27">
        <f t="shared" si="17"/>
        <v>152</v>
      </c>
      <c r="AL27">
        <f t="shared" si="18"/>
        <v>460</v>
      </c>
      <c r="AM27">
        <f t="shared" si="19"/>
        <v>360</v>
      </c>
      <c r="AN27" t="str">
        <f t="shared" si="20"/>
        <v/>
      </c>
      <c r="AO27">
        <f t="shared" si="21"/>
        <v>1392</v>
      </c>
      <c r="AP27">
        <f t="shared" si="22"/>
        <v>85</v>
      </c>
      <c r="AQ27">
        <f t="shared" si="23"/>
        <v>160</v>
      </c>
      <c r="AR27">
        <f t="shared" si="24"/>
        <v>690</v>
      </c>
      <c r="AS27" t="str">
        <f t="shared" si="25"/>
        <v/>
      </c>
      <c r="AT27" t="str">
        <f t="shared" si="26"/>
        <v/>
      </c>
      <c r="AU27">
        <f t="shared" si="27"/>
        <v>935</v>
      </c>
      <c r="AV27">
        <f t="shared" si="28"/>
        <v>695</v>
      </c>
      <c r="AW27">
        <f t="shared" si="29"/>
        <v>330</v>
      </c>
      <c r="AX27">
        <f t="shared" si="30"/>
        <v>170</v>
      </c>
      <c r="AY27">
        <f t="shared" si="31"/>
        <v>280</v>
      </c>
      <c r="AZ27" t="str">
        <f t="shared" si="32"/>
        <v/>
      </c>
      <c r="BA27">
        <f t="shared" si="33"/>
        <v>1475</v>
      </c>
      <c r="BB27">
        <f t="shared" si="34"/>
        <v>170</v>
      </c>
      <c r="BC27" t="str">
        <f t="shared" si="35"/>
        <v/>
      </c>
      <c r="BD27" t="str">
        <f t="shared" si="36"/>
        <v/>
      </c>
      <c r="BE27" t="str">
        <f t="shared" si="37"/>
        <v/>
      </c>
      <c r="BF27" t="str">
        <f t="shared" si="38"/>
        <v/>
      </c>
      <c r="BG27">
        <f t="shared" si="39"/>
        <v>170</v>
      </c>
    </row>
    <row r="28" spans="1:59" x14ac:dyDescent="0.25">
      <c r="A28">
        <v>27</v>
      </c>
      <c r="B28" s="20">
        <v>44953</v>
      </c>
      <c r="C28" s="20" t="s">
        <v>212</v>
      </c>
      <c r="D28" s="2" t="s">
        <v>1</v>
      </c>
      <c r="E28" s="2" t="s">
        <v>11</v>
      </c>
      <c r="F28" s="2" t="s">
        <v>15</v>
      </c>
      <c r="I28" s="2" t="s">
        <v>74</v>
      </c>
      <c r="J28" s="2" t="s">
        <v>108</v>
      </c>
      <c r="K28" s="2" t="s">
        <v>94</v>
      </c>
      <c r="L28" s="2" t="s">
        <v>116</v>
      </c>
      <c r="N28" s="2" t="s">
        <v>40</v>
      </c>
      <c r="O28" s="2" t="s">
        <v>7</v>
      </c>
      <c r="P28" s="2" t="s">
        <v>46</v>
      </c>
      <c r="S28" s="2" t="s">
        <v>64</v>
      </c>
      <c r="T28" s="2" t="s">
        <v>112</v>
      </c>
      <c r="U28" s="2" t="s">
        <v>105</v>
      </c>
      <c r="V28" s="2" t="s">
        <v>118</v>
      </c>
      <c r="X28" s="2" t="s">
        <v>190</v>
      </c>
      <c r="AD28">
        <f t="shared" si="10"/>
        <v>80</v>
      </c>
      <c r="AE28">
        <f t="shared" si="11"/>
        <v>166</v>
      </c>
      <c r="AF28">
        <f t="shared" si="12"/>
        <v>142</v>
      </c>
      <c r="AG28" t="str">
        <f t="shared" si="13"/>
        <v/>
      </c>
      <c r="AH28" t="str">
        <f t="shared" si="14"/>
        <v/>
      </c>
      <c r="AI28">
        <f t="shared" si="15"/>
        <v>388</v>
      </c>
      <c r="AJ28">
        <f t="shared" si="16"/>
        <v>460</v>
      </c>
      <c r="AK28">
        <f t="shared" si="17"/>
        <v>143</v>
      </c>
      <c r="AL28">
        <f t="shared" si="18"/>
        <v>230</v>
      </c>
      <c r="AM28">
        <f t="shared" si="19"/>
        <v>360</v>
      </c>
      <c r="AN28" t="str">
        <f t="shared" si="20"/>
        <v/>
      </c>
      <c r="AO28">
        <f t="shared" si="21"/>
        <v>1193</v>
      </c>
      <c r="AP28">
        <f t="shared" si="22"/>
        <v>358</v>
      </c>
      <c r="AQ28">
        <f t="shared" si="23"/>
        <v>250</v>
      </c>
      <c r="AR28">
        <f t="shared" si="24"/>
        <v>132</v>
      </c>
      <c r="AS28" t="str">
        <f t="shared" si="25"/>
        <v/>
      </c>
      <c r="AT28" t="str">
        <f t="shared" si="26"/>
        <v/>
      </c>
      <c r="AU28">
        <f t="shared" si="27"/>
        <v>740</v>
      </c>
      <c r="AV28">
        <f t="shared" si="28"/>
        <v>735</v>
      </c>
      <c r="AW28">
        <f t="shared" si="29"/>
        <v>152</v>
      </c>
      <c r="AX28">
        <f t="shared" si="30"/>
        <v>80</v>
      </c>
      <c r="AY28">
        <f t="shared" si="31"/>
        <v>325</v>
      </c>
      <c r="AZ28" t="str">
        <f t="shared" si="32"/>
        <v/>
      </c>
      <c r="BA28">
        <f t="shared" si="33"/>
        <v>1292</v>
      </c>
      <c r="BB28">
        <f t="shared" si="34"/>
        <v>350</v>
      </c>
      <c r="BC28" t="str">
        <f t="shared" si="35"/>
        <v/>
      </c>
      <c r="BD28" t="str">
        <f t="shared" si="36"/>
        <v/>
      </c>
      <c r="BE28" t="str">
        <f t="shared" si="37"/>
        <v/>
      </c>
      <c r="BF28" t="str">
        <f t="shared" si="38"/>
        <v/>
      </c>
      <c r="BG28">
        <f t="shared" si="39"/>
        <v>350</v>
      </c>
    </row>
    <row r="29" spans="1:59" x14ac:dyDescent="0.25">
      <c r="A29">
        <v>30</v>
      </c>
      <c r="B29" s="20">
        <v>44954</v>
      </c>
      <c r="C29" s="20" t="s">
        <v>207</v>
      </c>
      <c r="D29" s="2" t="s">
        <v>36</v>
      </c>
      <c r="E29" s="2" t="s">
        <v>192</v>
      </c>
      <c r="F29" s="2" t="s">
        <v>42</v>
      </c>
      <c r="I29" s="2" t="s">
        <v>84</v>
      </c>
      <c r="J29" s="2" t="s">
        <v>84</v>
      </c>
      <c r="K29" s="2" t="s">
        <v>70</v>
      </c>
      <c r="L29" s="2" t="s">
        <v>34</v>
      </c>
      <c r="N29" s="2" t="s">
        <v>22</v>
      </c>
      <c r="O29" s="2" t="s">
        <v>54</v>
      </c>
      <c r="P29" s="2" t="s">
        <v>62</v>
      </c>
      <c r="S29" s="2" t="s">
        <v>66</v>
      </c>
      <c r="T29" s="2" t="s">
        <v>112</v>
      </c>
      <c r="U29" s="2" t="s">
        <v>120</v>
      </c>
      <c r="X29" s="2" t="s">
        <v>191</v>
      </c>
      <c r="Y29" s="2" t="s">
        <v>187</v>
      </c>
      <c r="AD29">
        <f t="shared" si="10"/>
        <v>310</v>
      </c>
      <c r="AE29" t="str">
        <f t="shared" si="11"/>
        <v/>
      </c>
      <c r="AF29">
        <f t="shared" si="12"/>
        <v>255</v>
      </c>
      <c r="AG29" t="str">
        <f t="shared" si="13"/>
        <v/>
      </c>
      <c r="AH29" t="str">
        <f t="shared" si="14"/>
        <v/>
      </c>
      <c r="AI29">
        <f t="shared" si="15"/>
        <v>565</v>
      </c>
      <c r="AJ29">
        <f t="shared" si="16"/>
        <v>460</v>
      </c>
      <c r="AK29">
        <f t="shared" si="17"/>
        <v>460</v>
      </c>
      <c r="AL29">
        <f t="shared" si="18"/>
        <v>620</v>
      </c>
      <c r="AM29">
        <f t="shared" si="19"/>
        <v>270</v>
      </c>
      <c r="AN29" t="str">
        <f t="shared" si="20"/>
        <v/>
      </c>
      <c r="AO29">
        <f t="shared" si="21"/>
        <v>1810</v>
      </c>
      <c r="AP29">
        <f t="shared" si="22"/>
        <v>44</v>
      </c>
      <c r="AQ29">
        <f t="shared" si="23"/>
        <v>160</v>
      </c>
      <c r="AR29">
        <f t="shared" si="24"/>
        <v>650</v>
      </c>
      <c r="AS29" t="str">
        <f t="shared" si="25"/>
        <v/>
      </c>
      <c r="AT29" t="str">
        <f t="shared" si="26"/>
        <v/>
      </c>
      <c r="AU29">
        <f t="shared" si="27"/>
        <v>854</v>
      </c>
      <c r="AV29">
        <f t="shared" si="28"/>
        <v>716</v>
      </c>
      <c r="AW29">
        <f t="shared" si="29"/>
        <v>152</v>
      </c>
      <c r="AX29">
        <f t="shared" si="30"/>
        <v>690</v>
      </c>
      <c r="AY29" t="str">
        <f t="shared" si="31"/>
        <v/>
      </c>
      <c r="AZ29" t="str">
        <f t="shared" si="32"/>
        <v/>
      </c>
      <c r="BA29">
        <f t="shared" si="33"/>
        <v>1558</v>
      </c>
      <c r="BB29">
        <f t="shared" si="34"/>
        <v>420</v>
      </c>
      <c r="BC29">
        <f t="shared" si="35"/>
        <v>170</v>
      </c>
      <c r="BD29" t="str">
        <f t="shared" si="36"/>
        <v/>
      </c>
      <c r="BE29" t="str">
        <f t="shared" si="37"/>
        <v/>
      </c>
      <c r="BF29" t="str">
        <f t="shared" si="38"/>
        <v/>
      </c>
      <c r="BG29">
        <f t="shared" si="39"/>
        <v>590</v>
      </c>
    </row>
    <row r="30" spans="1:59" x14ac:dyDescent="0.25">
      <c r="A30">
        <v>31</v>
      </c>
      <c r="B30" s="20">
        <v>44955</v>
      </c>
      <c r="C30" s="20" t="s">
        <v>208</v>
      </c>
      <c r="D30" s="2" t="s">
        <v>192</v>
      </c>
      <c r="E30" s="2" t="s">
        <v>38</v>
      </c>
      <c r="I30" s="2" t="s">
        <v>88</v>
      </c>
      <c r="J30" s="2" t="s">
        <v>98</v>
      </c>
      <c r="K30" s="2" t="s">
        <v>92</v>
      </c>
      <c r="L30" s="2" t="s">
        <v>52</v>
      </c>
      <c r="N30" s="2" t="s">
        <v>60</v>
      </c>
      <c r="O30" s="2" t="s">
        <v>36</v>
      </c>
      <c r="P30" s="2" t="s">
        <v>17</v>
      </c>
      <c r="S30" s="2" t="s">
        <v>100</v>
      </c>
      <c r="T30" s="2" t="s">
        <v>90</v>
      </c>
      <c r="U30" s="2" t="s">
        <v>92</v>
      </c>
      <c r="V30" s="2" t="s">
        <v>120</v>
      </c>
      <c r="AD30" t="str">
        <f t="shared" si="10"/>
        <v/>
      </c>
      <c r="AE30">
        <f t="shared" si="11"/>
        <v>360</v>
      </c>
      <c r="AF30" t="str">
        <f t="shared" si="12"/>
        <v/>
      </c>
      <c r="AG30" t="str">
        <f t="shared" si="13"/>
        <v/>
      </c>
      <c r="AH30" t="str">
        <f t="shared" si="14"/>
        <v/>
      </c>
      <c r="AI30">
        <f t="shared" si="15"/>
        <v>360</v>
      </c>
      <c r="AJ30">
        <f t="shared" si="16"/>
        <v>182</v>
      </c>
      <c r="AK30">
        <f t="shared" si="17"/>
        <v>420</v>
      </c>
      <c r="AL30">
        <f t="shared" si="18"/>
        <v>330</v>
      </c>
      <c r="AM30">
        <f t="shared" si="19"/>
        <v>100</v>
      </c>
      <c r="AN30" t="str">
        <f t="shared" si="20"/>
        <v/>
      </c>
      <c r="AO30">
        <f t="shared" si="21"/>
        <v>1032</v>
      </c>
      <c r="AP30">
        <f t="shared" si="22"/>
        <v>165</v>
      </c>
      <c r="AQ30">
        <f t="shared" si="23"/>
        <v>310</v>
      </c>
      <c r="AR30">
        <f t="shared" si="24"/>
        <v>227</v>
      </c>
      <c r="AS30" t="str">
        <f t="shared" si="25"/>
        <v/>
      </c>
      <c r="AT30" t="str">
        <f t="shared" si="26"/>
        <v/>
      </c>
      <c r="AU30">
        <f t="shared" si="27"/>
        <v>702</v>
      </c>
      <c r="AV30">
        <f t="shared" si="28"/>
        <v>380</v>
      </c>
      <c r="AW30">
        <f t="shared" si="29"/>
        <v>243</v>
      </c>
      <c r="AX30">
        <f t="shared" si="30"/>
        <v>330</v>
      </c>
      <c r="AY30">
        <f t="shared" si="31"/>
        <v>690</v>
      </c>
      <c r="AZ30" t="str">
        <f t="shared" si="32"/>
        <v/>
      </c>
      <c r="BA30">
        <f t="shared" si="33"/>
        <v>1643</v>
      </c>
      <c r="BB30" t="str">
        <f t="shared" si="34"/>
        <v/>
      </c>
      <c r="BC30" t="str">
        <f t="shared" si="35"/>
        <v/>
      </c>
      <c r="BD30" t="str">
        <f t="shared" si="36"/>
        <v/>
      </c>
      <c r="BE30" t="str">
        <f t="shared" si="37"/>
        <v/>
      </c>
      <c r="BF30" t="str">
        <f t="shared" si="38"/>
        <v/>
      </c>
      <c r="BG30">
        <f t="shared" si="39"/>
        <v>0</v>
      </c>
    </row>
    <row r="31" spans="1:59" x14ac:dyDescent="0.25">
      <c r="A31">
        <v>32</v>
      </c>
      <c r="B31" s="20">
        <v>44956</v>
      </c>
      <c r="C31" s="20" t="s">
        <v>209</v>
      </c>
      <c r="D31" s="2" t="s">
        <v>1</v>
      </c>
      <c r="E31" s="2" t="s">
        <v>36</v>
      </c>
      <c r="F31" s="2" t="s">
        <v>20</v>
      </c>
      <c r="I31" s="2" t="s">
        <v>205</v>
      </c>
      <c r="J31" s="2" t="s">
        <v>88</v>
      </c>
      <c r="K31" s="2" t="s">
        <v>110</v>
      </c>
      <c r="L31" s="2" t="s">
        <v>90</v>
      </c>
      <c r="N31" s="2" t="s">
        <v>54</v>
      </c>
      <c r="O31" s="2" t="s">
        <v>40</v>
      </c>
      <c r="P31" s="2" t="s">
        <v>24</v>
      </c>
      <c r="S31" s="2" t="s">
        <v>82</v>
      </c>
      <c r="T31" s="2" t="s">
        <v>82</v>
      </c>
      <c r="U31" s="2" t="s">
        <v>105</v>
      </c>
      <c r="V31" s="2" t="s">
        <v>114</v>
      </c>
      <c r="X31" s="2" t="s">
        <v>188</v>
      </c>
      <c r="AD31">
        <f t="shared" si="10"/>
        <v>80</v>
      </c>
      <c r="AE31">
        <f t="shared" si="11"/>
        <v>310</v>
      </c>
      <c r="AF31">
        <f t="shared" si="12"/>
        <v>22</v>
      </c>
      <c r="AG31" t="str">
        <f t="shared" si="13"/>
        <v/>
      </c>
      <c r="AH31" t="str">
        <f t="shared" si="14"/>
        <v/>
      </c>
      <c r="AI31">
        <f t="shared" si="15"/>
        <v>412</v>
      </c>
      <c r="AJ31" t="str">
        <f t="shared" si="16"/>
        <v/>
      </c>
      <c r="AK31">
        <f t="shared" si="17"/>
        <v>182</v>
      </c>
      <c r="AL31">
        <f t="shared" si="18"/>
        <v>123</v>
      </c>
      <c r="AM31">
        <f t="shared" si="19"/>
        <v>243</v>
      </c>
      <c r="AN31" t="str">
        <f t="shared" si="20"/>
        <v/>
      </c>
      <c r="AO31">
        <f t="shared" si="21"/>
        <v>548</v>
      </c>
      <c r="AP31">
        <f t="shared" si="22"/>
        <v>160</v>
      </c>
      <c r="AQ31">
        <f t="shared" si="23"/>
        <v>358</v>
      </c>
      <c r="AR31">
        <f t="shared" si="24"/>
        <v>40</v>
      </c>
      <c r="AS31" t="str">
        <f t="shared" si="25"/>
        <v/>
      </c>
      <c r="AT31" t="str">
        <f t="shared" si="26"/>
        <v/>
      </c>
      <c r="AU31">
        <f t="shared" si="27"/>
        <v>558</v>
      </c>
      <c r="AV31">
        <f t="shared" si="28"/>
        <v>331</v>
      </c>
      <c r="AW31">
        <f t="shared" si="29"/>
        <v>331</v>
      </c>
      <c r="AX31">
        <f t="shared" si="30"/>
        <v>80</v>
      </c>
      <c r="AY31">
        <f t="shared" si="31"/>
        <v>280</v>
      </c>
      <c r="AZ31" t="str">
        <f t="shared" si="32"/>
        <v/>
      </c>
      <c r="BA31">
        <f t="shared" si="33"/>
        <v>1022</v>
      </c>
      <c r="BB31">
        <f t="shared" si="34"/>
        <v>350</v>
      </c>
      <c r="BC31" t="str">
        <f t="shared" si="35"/>
        <v/>
      </c>
      <c r="BD31" t="str">
        <f t="shared" si="36"/>
        <v/>
      </c>
      <c r="BE31" t="str">
        <f t="shared" si="37"/>
        <v/>
      </c>
      <c r="BF31" t="str">
        <f t="shared" si="38"/>
        <v/>
      </c>
      <c r="BG31">
        <f t="shared" si="39"/>
        <v>350</v>
      </c>
    </row>
    <row r="32" spans="1:59" x14ac:dyDescent="0.25">
      <c r="A32">
        <v>33</v>
      </c>
      <c r="B32" s="20">
        <v>44957</v>
      </c>
      <c r="C32" s="20" t="s">
        <v>210</v>
      </c>
      <c r="D32" s="2" t="s">
        <v>40</v>
      </c>
      <c r="E32" s="2" t="s">
        <v>192</v>
      </c>
      <c r="F32" s="2" t="s">
        <v>46</v>
      </c>
      <c r="I32" s="2" t="s">
        <v>64</v>
      </c>
      <c r="J32" s="2" t="s">
        <v>112</v>
      </c>
      <c r="K32" s="2" t="s">
        <v>106</v>
      </c>
      <c r="L32" s="2" t="s">
        <v>114</v>
      </c>
      <c r="N32" s="2" t="s">
        <v>34</v>
      </c>
      <c r="O32" s="2" t="s">
        <v>62</v>
      </c>
      <c r="S32" s="2" t="s">
        <v>102</v>
      </c>
      <c r="T32" s="2" t="s">
        <v>110</v>
      </c>
      <c r="U32" s="2" t="s">
        <v>90</v>
      </c>
      <c r="X32" s="2" t="s">
        <v>191</v>
      </c>
      <c r="Y32" s="2" t="s">
        <v>187</v>
      </c>
      <c r="Z32" s="2" t="s">
        <v>190</v>
      </c>
      <c r="AD32">
        <f t="shared" si="10"/>
        <v>358</v>
      </c>
      <c r="AE32" t="str">
        <f t="shared" si="11"/>
        <v/>
      </c>
      <c r="AF32">
        <f t="shared" si="12"/>
        <v>132</v>
      </c>
      <c r="AG32" t="str">
        <f t="shared" si="13"/>
        <v/>
      </c>
      <c r="AH32" t="str">
        <f t="shared" si="14"/>
        <v/>
      </c>
      <c r="AI32">
        <f t="shared" si="15"/>
        <v>490</v>
      </c>
      <c r="AJ32">
        <f t="shared" si="16"/>
        <v>735</v>
      </c>
      <c r="AK32">
        <f t="shared" si="17"/>
        <v>152</v>
      </c>
      <c r="AL32">
        <f t="shared" si="18"/>
        <v>170</v>
      </c>
      <c r="AM32">
        <f t="shared" si="19"/>
        <v>280</v>
      </c>
      <c r="AN32" t="str">
        <f t="shared" si="20"/>
        <v/>
      </c>
      <c r="AO32">
        <f t="shared" si="21"/>
        <v>1337</v>
      </c>
      <c r="AP32">
        <f t="shared" si="22"/>
        <v>270</v>
      </c>
      <c r="AQ32">
        <f t="shared" si="23"/>
        <v>650</v>
      </c>
      <c r="AR32" t="str">
        <f t="shared" si="24"/>
        <v/>
      </c>
      <c r="AS32" t="str">
        <f t="shared" si="25"/>
        <v/>
      </c>
      <c r="AT32" t="str">
        <f t="shared" si="26"/>
        <v/>
      </c>
      <c r="AU32">
        <f t="shared" si="27"/>
        <v>920</v>
      </c>
      <c r="AV32">
        <f t="shared" si="28"/>
        <v>695</v>
      </c>
      <c r="AW32">
        <f t="shared" si="29"/>
        <v>123</v>
      </c>
      <c r="AX32">
        <f t="shared" si="30"/>
        <v>243</v>
      </c>
      <c r="AY32" t="str">
        <f t="shared" si="31"/>
        <v/>
      </c>
      <c r="AZ32" t="str">
        <f t="shared" si="32"/>
        <v/>
      </c>
      <c r="BA32">
        <f t="shared" si="33"/>
        <v>1061</v>
      </c>
      <c r="BB32">
        <f t="shared" si="34"/>
        <v>420</v>
      </c>
      <c r="BC32">
        <f t="shared" si="35"/>
        <v>170</v>
      </c>
      <c r="BD32">
        <f t="shared" si="36"/>
        <v>350</v>
      </c>
      <c r="BE32" t="str">
        <f t="shared" si="37"/>
        <v/>
      </c>
      <c r="BF32" t="str">
        <f t="shared" si="38"/>
        <v/>
      </c>
      <c r="BG32">
        <f t="shared" si="39"/>
        <v>940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276FC-0897-4E5E-A595-B13E869CD0E8}">
  <sheetPr codeName="Sheet4"/>
  <dimension ref="A1:J32"/>
  <sheetViews>
    <sheetView zoomScale="89" zoomScaleNormal="89" workbookViewId="0">
      <selection activeCell="B2" sqref="B2:B32"/>
    </sheetView>
  </sheetViews>
  <sheetFormatPr defaultRowHeight="15" x14ac:dyDescent="0.25"/>
  <cols>
    <col min="2" max="2" width="10.5703125" bestFit="1" customWidth="1"/>
    <col min="3" max="3" width="11.42578125" bestFit="1" customWidth="1"/>
    <col min="4" max="4" width="18.5703125" customWidth="1"/>
    <col min="5" max="5" width="26.7109375" customWidth="1"/>
    <col min="6" max="6" width="41.28515625" customWidth="1"/>
    <col min="7" max="7" width="16.28515625" customWidth="1"/>
    <col min="8" max="8" width="9.7109375" customWidth="1"/>
    <col min="9" max="9" width="13.5703125" customWidth="1"/>
    <col min="10" max="10" width="18.7109375" customWidth="1"/>
  </cols>
  <sheetData>
    <row r="1" spans="1:10" x14ac:dyDescent="0.25">
      <c r="A1" s="39" t="s">
        <v>204</v>
      </c>
      <c r="B1" s="39" t="s">
        <v>131</v>
      </c>
      <c r="C1" s="41" t="s">
        <v>206</v>
      </c>
      <c r="D1" s="31" t="s">
        <v>195</v>
      </c>
      <c r="E1" s="32" t="s">
        <v>196</v>
      </c>
      <c r="F1" s="32" t="s">
        <v>197</v>
      </c>
      <c r="G1" s="33" t="s">
        <v>198</v>
      </c>
      <c r="H1" s="35" t="s">
        <v>199</v>
      </c>
      <c r="I1" s="36" t="s">
        <v>200</v>
      </c>
      <c r="J1" s="34" t="s">
        <v>201</v>
      </c>
    </row>
    <row r="2" spans="1:10" x14ac:dyDescent="0.25">
      <c r="A2">
        <v>1</v>
      </c>
      <c r="B2" s="37">
        <v>44927</v>
      </c>
      <c r="C2" s="42" t="s">
        <v>207</v>
      </c>
      <c r="D2">
        <f>SUM(Table2[[#This Row],[breakfast cal Total]],Table2[[#This Row],[lunch cal Total]],Table2[[#This Row],[afternoon cal Total]],Table2[[#This Row],[dinner cal Total]])</f>
        <v>2755</v>
      </c>
      <c r="E2">
        <v>2200</v>
      </c>
      <c r="F2">
        <f>SUM(Table2[[#This Row],[exercise cal Total]],E2)</f>
        <v>2370</v>
      </c>
      <c r="G2" s="7">
        <f t="shared" ref="G2:G8" si="0">D2-F2</f>
        <v>385</v>
      </c>
      <c r="H2" s="6">
        <v>16</v>
      </c>
      <c r="I2">
        <v>80</v>
      </c>
      <c r="J2">
        <v>64</v>
      </c>
    </row>
    <row r="3" spans="1:10" x14ac:dyDescent="0.25">
      <c r="A3">
        <v>2</v>
      </c>
      <c r="B3" s="38">
        <v>44928</v>
      </c>
      <c r="C3" s="20" t="s">
        <v>208</v>
      </c>
      <c r="D3">
        <f>SUM(Table2[[#This Row],[breakfast cal Total]],Table2[[#This Row],[lunch cal Total]],Table2[[#This Row],[afternoon cal Total]],Table2[[#This Row],[dinner cal Total]])</f>
        <v>3563</v>
      </c>
      <c r="E3">
        <v>2200</v>
      </c>
      <c r="F3">
        <f>SUM(Table2[[#This Row],[exercise cal Total]],E3)</f>
        <v>2720</v>
      </c>
      <c r="G3" s="7">
        <f t="shared" si="0"/>
        <v>843</v>
      </c>
      <c r="H3" s="6">
        <f t="shared" ref="H3:H8" si="1">H2+(G2/7612.12)</f>
        <v>16.050577237353064</v>
      </c>
      <c r="I3">
        <f t="shared" ref="I3:I8" si="2">I2+(H3-H2)</f>
        <v>80.050577237353068</v>
      </c>
      <c r="J3">
        <f t="shared" ref="J3:J8" si="3">I3-H3</f>
        <v>64</v>
      </c>
    </row>
    <row r="4" spans="1:10" x14ac:dyDescent="0.25">
      <c r="A4">
        <v>3</v>
      </c>
      <c r="B4" s="37">
        <v>44929</v>
      </c>
      <c r="C4" s="42" t="s">
        <v>209</v>
      </c>
      <c r="D4">
        <f>SUM(Table2[[#This Row],[breakfast cal Total]],Table2[[#This Row],[lunch cal Total]],Table2[[#This Row],[afternoon cal Total]],Table2[[#This Row],[dinner cal Total]])</f>
        <v>4493</v>
      </c>
      <c r="E4">
        <v>2200</v>
      </c>
      <c r="F4">
        <f>SUM(Table2[[#This Row],[exercise cal Total]],E4)</f>
        <v>2790</v>
      </c>
      <c r="G4" s="7">
        <f t="shared" si="0"/>
        <v>1703</v>
      </c>
      <c r="H4" s="6">
        <f t="shared" si="1"/>
        <v>16.161321681739121</v>
      </c>
      <c r="I4">
        <f t="shared" si="2"/>
        <v>80.161321681739125</v>
      </c>
      <c r="J4">
        <f t="shared" si="3"/>
        <v>64</v>
      </c>
    </row>
    <row r="5" spans="1:10" x14ac:dyDescent="0.25">
      <c r="A5">
        <v>4</v>
      </c>
      <c r="B5" s="38">
        <v>44930</v>
      </c>
      <c r="C5" s="20" t="s">
        <v>210</v>
      </c>
      <c r="D5">
        <f>SUM(Table2[[#This Row],[breakfast cal Total]],Table2[[#This Row],[lunch cal Total]],Table2[[#This Row],[afternoon cal Total]],Table2[[#This Row],[dinner cal Total]])</f>
        <v>3574</v>
      </c>
      <c r="E5">
        <v>2200</v>
      </c>
      <c r="F5">
        <f>SUM(Table2[[#This Row],[exercise cal Total]],E5)</f>
        <v>2720</v>
      </c>
      <c r="G5" s="7">
        <f t="shared" si="0"/>
        <v>854</v>
      </c>
      <c r="H5" s="6">
        <f t="shared" si="1"/>
        <v>16.385043851121633</v>
      </c>
      <c r="I5">
        <f t="shared" si="2"/>
        <v>80.385043851121637</v>
      </c>
      <c r="J5">
        <f t="shared" si="3"/>
        <v>64</v>
      </c>
    </row>
    <row r="6" spans="1:10" x14ac:dyDescent="0.25">
      <c r="A6">
        <v>5</v>
      </c>
      <c r="B6" s="20">
        <v>44931</v>
      </c>
      <c r="C6" s="20" t="s">
        <v>211</v>
      </c>
      <c r="D6">
        <f>SUM(Table2[[#This Row],[breakfast cal Total]],Table2[[#This Row],[lunch cal Total]],Table2[[#This Row],[afternoon cal Total]],Table2[[#This Row],[dinner cal Total]])</f>
        <v>4158</v>
      </c>
      <c r="E6">
        <v>2200</v>
      </c>
      <c r="F6">
        <f>SUM(Table2[[#This Row],[exercise cal Total]],E6)</f>
        <v>2790</v>
      </c>
      <c r="G6" s="7">
        <f t="shared" si="0"/>
        <v>1368</v>
      </c>
      <c r="H6" s="6">
        <f t="shared" si="1"/>
        <v>16.497233359432066</v>
      </c>
      <c r="I6">
        <f t="shared" si="2"/>
        <v>80.497233359432073</v>
      </c>
      <c r="J6">
        <f t="shared" si="3"/>
        <v>64</v>
      </c>
    </row>
    <row r="7" spans="1:10" x14ac:dyDescent="0.25">
      <c r="A7">
        <v>6</v>
      </c>
      <c r="B7" s="20">
        <v>44932</v>
      </c>
      <c r="C7" s="20" t="s">
        <v>212</v>
      </c>
      <c r="D7">
        <f>SUM(Table2[[#This Row],[breakfast cal Total]],Table2[[#This Row],[lunch cal Total]],Table2[[#This Row],[afternoon cal Total]],Table2[[#This Row],[dinner cal Total]])</f>
        <v>2696</v>
      </c>
      <c r="E7">
        <v>2200</v>
      </c>
      <c r="F7">
        <f>SUM(Table2[[#This Row],[exercise cal Total]],E7)</f>
        <v>2720</v>
      </c>
      <c r="G7" s="7">
        <f t="shared" si="0"/>
        <v>-24</v>
      </c>
      <c r="H7" s="6">
        <f t="shared" si="1"/>
        <v>16.676946763845027</v>
      </c>
      <c r="I7">
        <f t="shared" si="2"/>
        <v>80.676946763845038</v>
      </c>
      <c r="J7">
        <f t="shared" si="3"/>
        <v>64.000000000000014</v>
      </c>
    </row>
    <row r="8" spans="1:10" x14ac:dyDescent="0.25">
      <c r="A8">
        <v>7</v>
      </c>
      <c r="B8" s="20">
        <v>44933</v>
      </c>
      <c r="C8" s="20" t="s">
        <v>213</v>
      </c>
      <c r="D8">
        <f>SUM(Table2[[#This Row],[breakfast cal Total]],Table2[[#This Row],[lunch cal Total]],Table2[[#This Row],[afternoon cal Total]],Table2[[#This Row],[dinner cal Total]])</f>
        <v>4018</v>
      </c>
      <c r="E8">
        <v>2200</v>
      </c>
      <c r="F8">
        <f>SUM(Table2[[#This Row],[exercise cal Total]],E8)</f>
        <v>2720</v>
      </c>
      <c r="G8" s="7">
        <f t="shared" si="0"/>
        <v>1298</v>
      </c>
      <c r="H8" s="6">
        <f t="shared" si="1"/>
        <v>16.673793897100939</v>
      </c>
      <c r="I8">
        <f t="shared" si="2"/>
        <v>80.67379389710095</v>
      </c>
      <c r="J8">
        <f t="shared" si="3"/>
        <v>64.000000000000014</v>
      </c>
    </row>
    <row r="9" spans="1:10" x14ac:dyDescent="0.25">
      <c r="A9">
        <v>8</v>
      </c>
      <c r="B9" s="20">
        <v>44934</v>
      </c>
      <c r="C9" s="20" t="s">
        <v>207</v>
      </c>
      <c r="D9">
        <f>SUM(Table2[[#This Row],[breakfast cal Total]],Table2[[#This Row],[lunch cal Total]],Table2[[#This Row],[afternoon cal Total]],Table2[[#This Row],[dinner cal Total]])</f>
        <v>4158</v>
      </c>
      <c r="E9">
        <v>2200</v>
      </c>
      <c r="F9">
        <f>SUM(Table2[[#This Row],[exercise cal Total]],E9)</f>
        <v>2790</v>
      </c>
      <c r="G9" s="7">
        <f>D9-F9</f>
        <v>1368</v>
      </c>
      <c r="H9" s="6">
        <f>H8+(G8/7612.12)</f>
        <v>16.84431144017698</v>
      </c>
      <c r="I9">
        <f>I8+(H9-H8)</f>
        <v>80.844311440176995</v>
      </c>
      <c r="J9">
        <f>I9-H9</f>
        <v>64.000000000000014</v>
      </c>
    </row>
    <row r="10" spans="1:10" x14ac:dyDescent="0.25">
      <c r="A10">
        <v>9</v>
      </c>
      <c r="B10" s="20">
        <v>44935</v>
      </c>
      <c r="C10" s="20" t="s">
        <v>208</v>
      </c>
      <c r="D10">
        <f>SUM(Table2[[#This Row],[breakfast cal Total]],Table2[[#This Row],[lunch cal Total]],Table2[[#This Row],[afternoon cal Total]],Table2[[#This Row],[dinner cal Total]])</f>
        <v>2776</v>
      </c>
      <c r="E10">
        <v>2200</v>
      </c>
      <c r="F10">
        <f>SUM(Table2[[#This Row],[exercise cal Total]],E10)</f>
        <v>2720</v>
      </c>
      <c r="G10" s="7">
        <f t="shared" ref="G10:G22" si="4">D10-F10</f>
        <v>56</v>
      </c>
      <c r="H10" s="6">
        <f t="shared" ref="H10:H22" si="5">H9+(G9/7612.12)</f>
        <v>17.024024844589942</v>
      </c>
      <c r="I10">
        <f t="shared" ref="I10:I22" si="6">I9+(H10-H9)</f>
        <v>81.02402484458996</v>
      </c>
      <c r="J10">
        <f t="shared" ref="J10:J22" si="7">I10-H10</f>
        <v>64.000000000000014</v>
      </c>
    </row>
    <row r="11" spans="1:10" x14ac:dyDescent="0.25">
      <c r="A11">
        <v>10</v>
      </c>
      <c r="B11" s="20">
        <v>44936</v>
      </c>
      <c r="C11" s="20" t="s">
        <v>209</v>
      </c>
      <c r="D11">
        <f>SUM(Table2[[#This Row],[breakfast cal Total]],Table2[[#This Row],[lunch cal Total]],Table2[[#This Row],[afternoon cal Total]],Table2[[#This Row],[dinner cal Total]])</f>
        <v>3294</v>
      </c>
      <c r="E11">
        <v>2200</v>
      </c>
      <c r="F11">
        <f>SUM(Table2[[#This Row],[exercise cal Total]],E11)</f>
        <v>3420</v>
      </c>
      <c r="G11" s="7">
        <f t="shared" si="4"/>
        <v>-126</v>
      </c>
      <c r="H11" s="6">
        <f t="shared" si="5"/>
        <v>17.031381533659477</v>
      </c>
      <c r="I11">
        <f t="shared" si="6"/>
        <v>81.031381533659498</v>
      </c>
      <c r="J11">
        <f t="shared" si="7"/>
        <v>64.000000000000028</v>
      </c>
    </row>
    <row r="12" spans="1:10" x14ac:dyDescent="0.25">
      <c r="A12">
        <v>11</v>
      </c>
      <c r="B12" s="20">
        <v>44937</v>
      </c>
      <c r="C12" s="20" t="s">
        <v>210</v>
      </c>
      <c r="D12">
        <f>SUM(Table2[[#This Row],[breakfast cal Total]],Table2[[#This Row],[lunch cal Total]],Table2[[#This Row],[afternoon cal Total]],Table2[[#This Row],[dinner cal Total]])</f>
        <v>3284</v>
      </c>
      <c r="E12">
        <v>2200</v>
      </c>
      <c r="F12">
        <f>SUM(Table2[[#This Row],[exercise cal Total]],E12)</f>
        <v>2370</v>
      </c>
      <c r="G12" s="7">
        <f t="shared" si="4"/>
        <v>914</v>
      </c>
      <c r="H12" s="6">
        <f t="shared" si="5"/>
        <v>17.014828983253022</v>
      </c>
      <c r="I12">
        <f t="shared" si="6"/>
        <v>81.014828983253039</v>
      </c>
      <c r="J12">
        <f t="shared" si="7"/>
        <v>64.000000000000014</v>
      </c>
    </row>
    <row r="13" spans="1:10" x14ac:dyDescent="0.25">
      <c r="A13">
        <v>12</v>
      </c>
      <c r="B13" s="20">
        <v>44938</v>
      </c>
      <c r="C13" s="20" t="s">
        <v>211</v>
      </c>
      <c r="D13">
        <f>SUM(Table2[[#This Row],[breakfast cal Total]],Table2[[#This Row],[lunch cal Total]],Table2[[#This Row],[afternoon cal Total]],Table2[[#This Row],[dinner cal Total]])</f>
        <v>3584</v>
      </c>
      <c r="E13">
        <v>2200</v>
      </c>
      <c r="F13">
        <f>SUM(Table2[[#This Row],[exercise cal Total]],E13)</f>
        <v>2790</v>
      </c>
      <c r="G13" s="7">
        <f t="shared" si="4"/>
        <v>794</v>
      </c>
      <c r="H13" s="6">
        <f t="shared" si="5"/>
        <v>17.134900658423671</v>
      </c>
      <c r="I13">
        <f t="shared" si="6"/>
        <v>81.134900658423689</v>
      </c>
      <c r="J13">
        <f t="shared" si="7"/>
        <v>64.000000000000014</v>
      </c>
    </row>
    <row r="14" spans="1:10" x14ac:dyDescent="0.25">
      <c r="A14">
        <v>13</v>
      </c>
      <c r="B14" s="20">
        <v>44939</v>
      </c>
      <c r="C14" s="20" t="s">
        <v>212</v>
      </c>
      <c r="D14">
        <f>SUM(Table2[[#This Row],[breakfast cal Total]],Table2[[#This Row],[lunch cal Total]],Table2[[#This Row],[afternoon cal Total]],Table2[[#This Row],[dinner cal Total]])</f>
        <v>2419</v>
      </c>
      <c r="E14">
        <v>2200</v>
      </c>
      <c r="F14">
        <f>SUM(Table2[[#This Row],[exercise cal Total]],E14)</f>
        <v>2370</v>
      </c>
      <c r="G14" s="7">
        <f t="shared" si="4"/>
        <v>49</v>
      </c>
      <c r="H14" s="6">
        <f t="shared" si="5"/>
        <v>17.239207999873884</v>
      </c>
      <c r="I14">
        <f t="shared" si="6"/>
        <v>81.239207999873898</v>
      </c>
      <c r="J14">
        <f t="shared" si="7"/>
        <v>64.000000000000014</v>
      </c>
    </row>
    <row r="15" spans="1:10" x14ac:dyDescent="0.25">
      <c r="A15">
        <v>14</v>
      </c>
      <c r="B15" s="20">
        <v>44940</v>
      </c>
      <c r="C15" s="20" t="s">
        <v>213</v>
      </c>
      <c r="D15">
        <f>SUM(Table2[[#This Row],[breakfast cal Total]],Table2[[#This Row],[lunch cal Total]],Table2[[#This Row],[afternoon cal Total]],Table2[[#This Row],[dinner cal Total]])</f>
        <v>4282</v>
      </c>
      <c r="E15">
        <v>2200</v>
      </c>
      <c r="F15">
        <f>SUM(Table2[[#This Row],[exercise cal Total]],E15)</f>
        <v>2370</v>
      </c>
      <c r="G15" s="7">
        <f t="shared" si="4"/>
        <v>1912</v>
      </c>
      <c r="H15" s="6">
        <f t="shared" si="5"/>
        <v>17.245645102809728</v>
      </c>
      <c r="I15">
        <f t="shared" si="6"/>
        <v>81.245645102809746</v>
      </c>
      <c r="J15">
        <f t="shared" si="7"/>
        <v>64.000000000000014</v>
      </c>
    </row>
    <row r="16" spans="1:10" x14ac:dyDescent="0.25">
      <c r="A16">
        <v>15</v>
      </c>
      <c r="B16" s="20">
        <v>44941</v>
      </c>
      <c r="C16" s="20" t="s">
        <v>207</v>
      </c>
      <c r="D16">
        <f>SUM(Table2[[#This Row],[breakfast cal Total]],Table2[[#This Row],[lunch cal Total]],Table2[[#This Row],[afternoon cal Total]],Table2[[#This Row],[dinner cal Total]])</f>
        <v>4530</v>
      </c>
      <c r="E16">
        <v>2200</v>
      </c>
      <c r="F16">
        <f>SUM(Table2[[#This Row],[exercise cal Total]],E16)</f>
        <v>2550</v>
      </c>
      <c r="G16" s="7">
        <f t="shared" si="4"/>
        <v>1980</v>
      </c>
      <c r="H16" s="6">
        <f t="shared" si="5"/>
        <v>17.496823486755332</v>
      </c>
      <c r="I16">
        <f t="shared" si="6"/>
        <v>81.496823486755346</v>
      </c>
      <c r="J16">
        <f t="shared" si="7"/>
        <v>64.000000000000014</v>
      </c>
    </row>
    <row r="17" spans="1:10" x14ac:dyDescent="0.25">
      <c r="A17">
        <v>16</v>
      </c>
      <c r="B17" s="20">
        <v>44942</v>
      </c>
      <c r="C17" s="20" t="s">
        <v>208</v>
      </c>
      <c r="D17">
        <f>SUM(Table2[[#This Row],[breakfast cal Total]],Table2[[#This Row],[lunch cal Total]],Table2[[#This Row],[afternoon cal Total]],Table2[[#This Row],[dinner cal Total]])</f>
        <v>4513</v>
      </c>
      <c r="E17">
        <v>2200</v>
      </c>
      <c r="F17">
        <f>SUM(Table2[[#This Row],[exercise cal Total]],E17)</f>
        <v>2970</v>
      </c>
      <c r="G17" s="7">
        <f t="shared" si="4"/>
        <v>1543</v>
      </c>
      <c r="H17" s="6">
        <f t="shared" si="5"/>
        <v>17.756934993142515</v>
      </c>
      <c r="I17">
        <f t="shared" si="6"/>
        <v>81.756934993142522</v>
      </c>
      <c r="J17">
        <f t="shared" si="7"/>
        <v>64</v>
      </c>
    </row>
    <row r="18" spans="1:10" x14ac:dyDescent="0.25">
      <c r="A18">
        <v>17</v>
      </c>
      <c r="B18" s="20">
        <v>44943</v>
      </c>
      <c r="C18" s="20" t="s">
        <v>209</v>
      </c>
      <c r="D18">
        <f>SUM(Table2[[#This Row],[breakfast cal Total]],Table2[[#This Row],[lunch cal Total]],Table2[[#This Row],[afternoon cal Total]],Table2[[#This Row],[dinner cal Total]])</f>
        <v>2343</v>
      </c>
      <c r="E18">
        <v>2200</v>
      </c>
      <c r="F18">
        <f>SUM(Table2[[#This Row],[exercise cal Total]],E18)</f>
        <v>2900</v>
      </c>
      <c r="G18" s="7">
        <f t="shared" si="4"/>
        <v>-557</v>
      </c>
      <c r="H18" s="6">
        <f t="shared" si="5"/>
        <v>17.95963805089778</v>
      </c>
      <c r="I18">
        <f t="shared" si="6"/>
        <v>81.95963805089778</v>
      </c>
      <c r="J18">
        <f t="shared" si="7"/>
        <v>64</v>
      </c>
    </row>
    <row r="19" spans="1:10" x14ac:dyDescent="0.25">
      <c r="A19">
        <v>18</v>
      </c>
      <c r="B19" s="20">
        <v>44944</v>
      </c>
      <c r="C19" s="20" t="s">
        <v>210</v>
      </c>
      <c r="D19">
        <f>SUM(Table2[[#This Row],[breakfast cal Total]],Table2[[#This Row],[lunch cal Total]],Table2[[#This Row],[afternoon cal Total]],Table2[[#This Row],[dinner cal Total]])</f>
        <v>3568</v>
      </c>
      <c r="E19">
        <v>2200</v>
      </c>
      <c r="F19">
        <f>SUM(Table2[[#This Row],[exercise cal Total]],E19)</f>
        <v>2900</v>
      </c>
      <c r="G19" s="7">
        <f t="shared" si="4"/>
        <v>668</v>
      </c>
      <c r="H19" s="6">
        <f t="shared" si="5"/>
        <v>17.886465268545425</v>
      </c>
      <c r="I19">
        <f t="shared" si="6"/>
        <v>81.886465268545422</v>
      </c>
      <c r="J19">
        <f t="shared" si="7"/>
        <v>64</v>
      </c>
    </row>
    <row r="20" spans="1:10" x14ac:dyDescent="0.25">
      <c r="A20">
        <v>19</v>
      </c>
      <c r="B20" s="20">
        <v>44945</v>
      </c>
      <c r="C20" s="20" t="s">
        <v>211</v>
      </c>
      <c r="D20">
        <f>SUM(Table2[[#This Row],[breakfast cal Total]],Table2[[#This Row],[lunch cal Total]],Table2[[#This Row],[afternoon cal Total]],Table2[[#This Row],[dinner cal Total]])</f>
        <v>2530</v>
      </c>
      <c r="E20">
        <v>2200</v>
      </c>
      <c r="F20">
        <f>SUM(Table2[[#This Row],[exercise cal Total]],E20)</f>
        <v>2370</v>
      </c>
      <c r="G20" s="7">
        <f t="shared" si="4"/>
        <v>160</v>
      </c>
      <c r="H20" s="6">
        <f t="shared" si="5"/>
        <v>17.974220059589182</v>
      </c>
      <c r="I20">
        <f t="shared" si="6"/>
        <v>81.974220059589186</v>
      </c>
      <c r="J20">
        <f t="shared" si="7"/>
        <v>64</v>
      </c>
    </row>
    <row r="21" spans="1:10" x14ac:dyDescent="0.25">
      <c r="A21">
        <v>20</v>
      </c>
      <c r="B21" s="20">
        <v>44946</v>
      </c>
      <c r="C21" s="20" t="s">
        <v>212</v>
      </c>
      <c r="D21">
        <f>SUM(Table2[[#This Row],[breakfast cal Total]],Table2[[#This Row],[lunch cal Total]],Table2[[#This Row],[afternoon cal Total]],Table2[[#This Row],[dinner cal Total]])</f>
        <v>3646</v>
      </c>
      <c r="E21">
        <v>2200</v>
      </c>
      <c r="F21">
        <f>SUM(Table2[[#This Row],[exercise cal Total]],E21)</f>
        <v>2970</v>
      </c>
      <c r="G21" s="7">
        <f t="shared" si="4"/>
        <v>676</v>
      </c>
      <c r="H21" s="6">
        <f t="shared" si="5"/>
        <v>17.995239171216429</v>
      </c>
      <c r="I21">
        <f t="shared" si="6"/>
        <v>81.99523917121644</v>
      </c>
      <c r="J21">
        <f t="shared" si="7"/>
        <v>64.000000000000014</v>
      </c>
    </row>
    <row r="22" spans="1:10" x14ac:dyDescent="0.25">
      <c r="A22">
        <v>21</v>
      </c>
      <c r="B22" s="20">
        <v>44947</v>
      </c>
      <c r="C22" s="20" t="s">
        <v>213</v>
      </c>
      <c r="D22">
        <f>SUM(Table2[[#This Row],[breakfast cal Total]],Table2[[#This Row],[lunch cal Total]],Table2[[#This Row],[afternoon cal Total]],Table2[[#This Row],[dinner cal Total]])</f>
        <v>5303</v>
      </c>
      <c r="E22">
        <v>2200</v>
      </c>
      <c r="F22">
        <f>SUM(Table2[[#This Row],[exercise cal Total]],E22)</f>
        <v>2970</v>
      </c>
      <c r="G22" s="7">
        <f t="shared" si="4"/>
        <v>2333</v>
      </c>
      <c r="H22" s="6">
        <f t="shared" si="5"/>
        <v>18.084044917841549</v>
      </c>
      <c r="I22">
        <f t="shared" si="6"/>
        <v>82.084044917841567</v>
      </c>
      <c r="J22">
        <f t="shared" si="7"/>
        <v>64.000000000000014</v>
      </c>
    </row>
    <row r="23" spans="1:10" x14ac:dyDescent="0.25">
      <c r="A23">
        <v>22</v>
      </c>
      <c r="B23" s="20">
        <v>44948</v>
      </c>
      <c r="C23" s="20" t="s">
        <v>207</v>
      </c>
      <c r="D23">
        <f>SUM(Table2[[#This Row],[breakfast cal Total]],Table2[[#This Row],[lunch cal Total]],Table2[[#This Row],[afternoon cal Total]],Table2[[#This Row],[dinner cal Total]])</f>
        <v>2553</v>
      </c>
      <c r="E23">
        <v>2200</v>
      </c>
      <c r="F23">
        <f>SUM(Table2[[#This Row],[exercise cal Total]],E23)</f>
        <v>2370</v>
      </c>
      <c r="G23" s="7">
        <f t="shared" ref="G23:G32" si="8">D23-F23</f>
        <v>183</v>
      </c>
      <c r="H23" s="6">
        <f t="shared" ref="H23:H32" si="9">H22+(G22/7612.12)</f>
        <v>18.390529839256345</v>
      </c>
      <c r="I23">
        <f t="shared" ref="I23:I32" si="10">I22+(H23-H22)</f>
        <v>82.390529839256359</v>
      </c>
      <c r="J23">
        <f t="shared" ref="J23:J32" si="11">I23-H23</f>
        <v>64.000000000000014</v>
      </c>
    </row>
    <row r="24" spans="1:10" x14ac:dyDescent="0.25">
      <c r="A24">
        <v>23</v>
      </c>
      <c r="B24" s="20">
        <v>44949</v>
      </c>
      <c r="C24" s="20" t="s">
        <v>208</v>
      </c>
      <c r="D24">
        <f>SUM(Table2[[#This Row],[breakfast cal Total]],Table2[[#This Row],[lunch cal Total]],Table2[[#This Row],[afternoon cal Total]],Table2[[#This Row],[dinner cal Total]])</f>
        <v>5021</v>
      </c>
      <c r="E24">
        <v>2200</v>
      </c>
      <c r="F24">
        <f>SUM(Table2[[#This Row],[exercise cal Total]],E24)</f>
        <v>3320</v>
      </c>
      <c r="G24" s="7">
        <f t="shared" si="8"/>
        <v>1701</v>
      </c>
      <c r="H24" s="6">
        <f t="shared" si="9"/>
        <v>18.414570448180008</v>
      </c>
      <c r="I24">
        <f t="shared" si="10"/>
        <v>82.414570448180029</v>
      </c>
      <c r="J24">
        <f t="shared" si="11"/>
        <v>64.000000000000028</v>
      </c>
    </row>
    <row r="25" spans="1:10" x14ac:dyDescent="0.25">
      <c r="A25">
        <v>24</v>
      </c>
      <c r="B25" s="20">
        <v>44950</v>
      </c>
      <c r="C25" s="20" t="s">
        <v>209</v>
      </c>
      <c r="D25">
        <f>SUM(Table2[[#This Row],[breakfast cal Total]],Table2[[#This Row],[lunch cal Total]],Table2[[#This Row],[afternoon cal Total]],Table2[[#This Row],[dinner cal Total]])</f>
        <v>3530</v>
      </c>
      <c r="E25">
        <v>2200</v>
      </c>
      <c r="F25">
        <f>SUM(Table2[[#This Row],[exercise cal Total]],E25)</f>
        <v>2550</v>
      </c>
      <c r="G25" s="7">
        <f t="shared" si="8"/>
        <v>980</v>
      </c>
      <c r="H25" s="6">
        <f t="shared" si="9"/>
        <v>18.638029878667179</v>
      </c>
      <c r="I25">
        <f t="shared" si="10"/>
        <v>82.638029878667197</v>
      </c>
      <c r="J25">
        <f t="shared" si="11"/>
        <v>64.000000000000014</v>
      </c>
    </row>
    <row r="26" spans="1:10" x14ac:dyDescent="0.25">
      <c r="A26">
        <v>25</v>
      </c>
      <c r="B26" s="20">
        <v>44951</v>
      </c>
      <c r="C26" s="20" t="s">
        <v>210</v>
      </c>
      <c r="D26">
        <f>SUM(Table2[[#This Row],[breakfast cal Total]],Table2[[#This Row],[lunch cal Total]],Table2[[#This Row],[afternoon cal Total]],Table2[[#This Row],[dinner cal Total]])</f>
        <v>3342</v>
      </c>
      <c r="E26">
        <v>2200</v>
      </c>
      <c r="F26">
        <f>SUM(Table2[[#This Row],[exercise cal Total]],E26)</f>
        <v>2620</v>
      </c>
      <c r="G26" s="7">
        <f t="shared" si="8"/>
        <v>722</v>
      </c>
      <c r="H26" s="6">
        <f t="shared" si="9"/>
        <v>18.766771937384068</v>
      </c>
      <c r="I26">
        <f t="shared" si="10"/>
        <v>82.766771937384078</v>
      </c>
      <c r="J26">
        <f t="shared" si="11"/>
        <v>64.000000000000014</v>
      </c>
    </row>
    <row r="27" spans="1:10" x14ac:dyDescent="0.25">
      <c r="A27">
        <v>26</v>
      </c>
      <c r="B27" s="20">
        <v>44952</v>
      </c>
      <c r="C27" s="20" t="s">
        <v>211</v>
      </c>
      <c r="D27">
        <f>SUM(Table2[[#This Row],[breakfast cal Total]],Table2[[#This Row],[lunch cal Total]],Table2[[#This Row],[afternoon cal Total]],Table2[[#This Row],[dinner cal Total]])</f>
        <v>4532</v>
      </c>
      <c r="E27">
        <v>2200</v>
      </c>
      <c r="F27">
        <f>SUM(Table2[[#This Row],[exercise cal Total]],E27)</f>
        <v>2370</v>
      </c>
      <c r="G27" s="7">
        <f t="shared" si="8"/>
        <v>2162</v>
      </c>
      <c r="H27" s="6">
        <f t="shared" si="9"/>
        <v>18.861620678602019</v>
      </c>
      <c r="I27">
        <f t="shared" si="10"/>
        <v>82.861620678602037</v>
      </c>
      <c r="J27">
        <f t="shared" si="11"/>
        <v>64.000000000000014</v>
      </c>
    </row>
    <row r="28" spans="1:10" x14ac:dyDescent="0.25">
      <c r="A28">
        <v>27</v>
      </c>
      <c r="B28" s="20">
        <v>44953</v>
      </c>
      <c r="C28" s="20" t="s">
        <v>212</v>
      </c>
      <c r="D28">
        <f>SUM(Table2[[#This Row],[breakfast cal Total]],Table2[[#This Row],[lunch cal Total]],Table2[[#This Row],[afternoon cal Total]],Table2[[#This Row],[dinner cal Total]])</f>
        <v>3613</v>
      </c>
      <c r="E28">
        <v>2200</v>
      </c>
      <c r="F28">
        <f>SUM(Table2[[#This Row],[exercise cal Total]],E28)</f>
        <v>2550</v>
      </c>
      <c r="G28" s="7">
        <f t="shared" si="8"/>
        <v>1063</v>
      </c>
      <c r="H28" s="6">
        <f t="shared" si="9"/>
        <v>19.145641424465197</v>
      </c>
      <c r="I28">
        <f t="shared" si="10"/>
        <v>83.145641424465211</v>
      </c>
      <c r="J28">
        <f t="shared" si="11"/>
        <v>64.000000000000014</v>
      </c>
    </row>
    <row r="29" spans="1:10" x14ac:dyDescent="0.25">
      <c r="A29">
        <v>28</v>
      </c>
      <c r="B29" s="20">
        <v>44954</v>
      </c>
      <c r="C29" s="20" t="s">
        <v>213</v>
      </c>
      <c r="D29">
        <f>SUM(Table2[[#This Row],[breakfast cal Total]],Table2[[#This Row],[lunch cal Total]],Table2[[#This Row],[afternoon cal Total]],Table2[[#This Row],[dinner cal Total]])</f>
        <v>4787</v>
      </c>
      <c r="E29">
        <v>2200</v>
      </c>
      <c r="F29">
        <f>SUM(Table2[[#This Row],[exercise cal Total]],E29)</f>
        <v>2790</v>
      </c>
      <c r="G29" s="7">
        <f t="shared" si="8"/>
        <v>1997</v>
      </c>
      <c r="H29" s="6">
        <f t="shared" si="9"/>
        <v>19.285287147338721</v>
      </c>
      <c r="I29">
        <f t="shared" si="10"/>
        <v>83.285287147338735</v>
      </c>
      <c r="J29">
        <f t="shared" si="11"/>
        <v>64.000000000000014</v>
      </c>
    </row>
    <row r="30" spans="1:10" x14ac:dyDescent="0.25">
      <c r="A30">
        <v>29</v>
      </c>
      <c r="B30" s="20">
        <v>44955</v>
      </c>
      <c r="C30" s="20" t="s">
        <v>207</v>
      </c>
      <c r="D30">
        <f>SUM(Table2[[#This Row],[breakfast cal Total]],Table2[[#This Row],[lunch cal Total]],Table2[[#This Row],[afternoon cal Total]],Table2[[#This Row],[dinner cal Total]])</f>
        <v>3737</v>
      </c>
      <c r="E30">
        <v>2200</v>
      </c>
      <c r="F30">
        <f>SUM(Table2[[#This Row],[exercise cal Total]],E30)</f>
        <v>2200</v>
      </c>
      <c r="G30" s="7">
        <f t="shared" si="8"/>
        <v>1537</v>
      </c>
      <c r="H30" s="6">
        <f t="shared" si="9"/>
        <v>19.547631934336298</v>
      </c>
      <c r="I30">
        <f t="shared" si="10"/>
        <v>83.547631934336309</v>
      </c>
      <c r="J30">
        <f t="shared" si="11"/>
        <v>64.000000000000014</v>
      </c>
    </row>
    <row r="31" spans="1:10" x14ac:dyDescent="0.25">
      <c r="A31">
        <v>30</v>
      </c>
      <c r="B31" s="20">
        <v>44956</v>
      </c>
      <c r="C31" s="20" t="s">
        <v>208</v>
      </c>
      <c r="D31">
        <f>SUM(Table2[[#This Row],[breakfast cal Total]],Table2[[#This Row],[lunch cal Total]],Table2[[#This Row],[afternoon cal Total]],Table2[[#This Row],[dinner cal Total]])</f>
        <v>2540</v>
      </c>
      <c r="E31">
        <v>2200</v>
      </c>
      <c r="F31">
        <f>SUM(Table2[[#This Row],[exercise cal Total]],E31)</f>
        <v>2550</v>
      </c>
      <c r="G31" s="7">
        <f t="shared" si="8"/>
        <v>-10</v>
      </c>
      <c r="H31" s="6">
        <f t="shared" si="9"/>
        <v>19.749546775405541</v>
      </c>
      <c r="I31">
        <f t="shared" si="10"/>
        <v>83.749546775405548</v>
      </c>
      <c r="J31">
        <f t="shared" si="11"/>
        <v>64</v>
      </c>
    </row>
    <row r="32" spans="1:10" x14ac:dyDescent="0.25">
      <c r="A32">
        <v>31</v>
      </c>
      <c r="B32" s="20">
        <v>44957</v>
      </c>
      <c r="C32" s="20" t="s">
        <v>209</v>
      </c>
      <c r="D32">
        <f>SUM(Table2[[#This Row],[breakfast cal Total]],Table2[[#This Row],[lunch cal Total]],Table2[[#This Row],[afternoon cal Total]],Table2[[#This Row],[dinner cal Total]])</f>
        <v>3808</v>
      </c>
      <c r="E32">
        <v>2200</v>
      </c>
      <c r="F32">
        <f>SUM(Table2[[#This Row],[exercise cal Total]],E32)</f>
        <v>3140</v>
      </c>
      <c r="G32" s="7">
        <f t="shared" si="8"/>
        <v>668</v>
      </c>
      <c r="H32" s="6">
        <f t="shared" si="9"/>
        <v>19.748233080928838</v>
      </c>
      <c r="I32">
        <f t="shared" si="10"/>
        <v>83.748233080928841</v>
      </c>
      <c r="J32">
        <f t="shared" si="11"/>
        <v>64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983F-BE4C-4DFE-8D6D-1892EDC26129}">
  <sheetPr codeName="Sheet5"/>
  <dimension ref="A3:F49"/>
  <sheetViews>
    <sheetView topLeftCell="A51" workbookViewId="0">
      <selection activeCell="F50" sqref="F50"/>
    </sheetView>
  </sheetViews>
  <sheetFormatPr defaultRowHeight="15" x14ac:dyDescent="0.25"/>
  <cols>
    <col min="1" max="1" width="13.140625" bestFit="1" customWidth="1"/>
    <col min="2" max="2" width="27.5703125" bestFit="1" customWidth="1"/>
    <col min="3" max="3" width="24" bestFit="1" customWidth="1"/>
    <col min="4" max="4" width="28.140625" bestFit="1" customWidth="1"/>
    <col min="5" max="5" width="25" bestFit="1" customWidth="1"/>
    <col min="6" max="6" width="26.7109375" bestFit="1" customWidth="1"/>
    <col min="7" max="28" width="16.28515625" bestFit="1" customWidth="1"/>
    <col min="29" max="30" width="11.28515625" bestFit="1" customWidth="1"/>
  </cols>
  <sheetData>
    <row r="3" spans="1:6" x14ac:dyDescent="0.25">
      <c r="A3" s="47" t="s">
        <v>222</v>
      </c>
      <c r="B3" t="s">
        <v>224</v>
      </c>
      <c r="C3" t="s">
        <v>225</v>
      </c>
      <c r="D3" t="s">
        <v>226</v>
      </c>
      <c r="E3" t="s">
        <v>227</v>
      </c>
      <c r="F3" t="s">
        <v>228</v>
      </c>
    </row>
    <row r="4" spans="1:6" x14ac:dyDescent="0.25">
      <c r="A4" s="48" t="s">
        <v>207</v>
      </c>
      <c r="B4" s="49">
        <v>620.6</v>
      </c>
      <c r="C4" s="50">
        <v>1447.4</v>
      </c>
      <c r="D4" s="49">
        <v>865.2</v>
      </c>
      <c r="E4" s="50">
        <v>1373.4</v>
      </c>
      <c r="F4" s="49">
        <v>494</v>
      </c>
    </row>
    <row r="5" spans="1:6" x14ac:dyDescent="0.25">
      <c r="A5" s="48" t="s">
        <v>208</v>
      </c>
      <c r="B5" s="49">
        <v>584.79999999999995</v>
      </c>
      <c r="C5" s="49">
        <v>1215</v>
      </c>
      <c r="D5" s="49">
        <v>807</v>
      </c>
      <c r="E5" s="49">
        <v>1315.2</v>
      </c>
      <c r="F5" s="50">
        <v>586</v>
      </c>
    </row>
    <row r="6" spans="1:6" x14ac:dyDescent="0.25">
      <c r="A6" s="48" t="s">
        <v>209</v>
      </c>
      <c r="B6" s="51">
        <v>532.6</v>
      </c>
      <c r="C6" s="49">
        <v>811.6</v>
      </c>
      <c r="D6" s="49">
        <v>651.20000000000005</v>
      </c>
      <c r="E6" s="49">
        <v>1244.5999999999999</v>
      </c>
      <c r="F6" s="50">
        <v>642</v>
      </c>
    </row>
    <row r="7" spans="1:6" x14ac:dyDescent="0.25">
      <c r="A7" s="48" t="s">
        <v>210</v>
      </c>
      <c r="B7" s="52">
        <v>633</v>
      </c>
      <c r="C7" s="49">
        <v>1129</v>
      </c>
      <c r="D7" s="52">
        <v>890.2</v>
      </c>
      <c r="E7" s="49">
        <v>863</v>
      </c>
      <c r="F7" s="49">
        <v>550</v>
      </c>
    </row>
    <row r="8" spans="1:6" x14ac:dyDescent="0.25">
      <c r="A8" s="48" t="s">
        <v>211</v>
      </c>
      <c r="B8" s="49">
        <v>581</v>
      </c>
      <c r="C8" s="49">
        <v>1130.25</v>
      </c>
      <c r="D8" s="49">
        <v>658</v>
      </c>
      <c r="E8" s="49">
        <v>1331.75</v>
      </c>
      <c r="F8" s="49">
        <v>380</v>
      </c>
    </row>
    <row r="9" spans="1:6" x14ac:dyDescent="0.25">
      <c r="A9" s="48" t="s">
        <v>212</v>
      </c>
      <c r="B9" s="51">
        <v>435.75</v>
      </c>
      <c r="C9" s="49">
        <v>1230.25</v>
      </c>
      <c r="D9" s="49">
        <v>578.25</v>
      </c>
      <c r="E9" s="49">
        <v>849.25</v>
      </c>
      <c r="F9" s="49">
        <v>452.5</v>
      </c>
    </row>
    <row r="10" spans="1:6" x14ac:dyDescent="0.25">
      <c r="A10" s="48" t="s">
        <v>213</v>
      </c>
      <c r="B10" s="49">
        <v>535.33333333333337</v>
      </c>
      <c r="C10" s="49">
        <v>1075.3333333333333</v>
      </c>
      <c r="D10" s="49">
        <v>784.66666666666663</v>
      </c>
      <c r="E10" s="49">
        <v>1222.3333333333333</v>
      </c>
      <c r="F10" s="53">
        <v>286.66666666666669</v>
      </c>
    </row>
    <row r="11" spans="1:6" x14ac:dyDescent="0.25">
      <c r="A11" s="48" t="s">
        <v>223</v>
      </c>
      <c r="B11" s="49">
        <v>565.41935483870964</v>
      </c>
      <c r="C11" s="49">
        <v>1151.0645161290322</v>
      </c>
      <c r="D11" s="49">
        <v>753.77419354838707</v>
      </c>
      <c r="E11" s="49">
        <v>1173.2903225806451</v>
      </c>
      <c r="F11" s="49">
        <v>501.61290322580646</v>
      </c>
    </row>
    <row r="41" spans="1:4" x14ac:dyDescent="0.25">
      <c r="A41" s="47" t="s">
        <v>222</v>
      </c>
      <c r="B41" s="47" t="s">
        <v>240</v>
      </c>
      <c r="C41" t="s">
        <v>241</v>
      </c>
      <c r="D41" t="s">
        <v>242</v>
      </c>
    </row>
    <row r="42" spans="1:4" x14ac:dyDescent="0.25">
      <c r="A42" s="48" t="s">
        <v>207</v>
      </c>
      <c r="B42">
        <v>3546.6</v>
      </c>
      <c r="C42">
        <v>2456</v>
      </c>
      <c r="D42">
        <v>1090.5999999999999</v>
      </c>
    </row>
    <row r="43" spans="1:4" x14ac:dyDescent="0.25">
      <c r="A43" s="48" t="s">
        <v>208</v>
      </c>
      <c r="B43">
        <v>3682.6</v>
      </c>
      <c r="C43">
        <v>2856</v>
      </c>
      <c r="D43">
        <v>826.6</v>
      </c>
    </row>
    <row r="44" spans="1:4" x14ac:dyDescent="0.25">
      <c r="A44" s="48" t="s">
        <v>209</v>
      </c>
      <c r="B44">
        <v>3493.6</v>
      </c>
      <c r="C44">
        <v>2960</v>
      </c>
      <c r="D44">
        <v>533.6</v>
      </c>
    </row>
    <row r="45" spans="1:4" x14ac:dyDescent="0.25">
      <c r="A45" s="48" t="s">
        <v>210</v>
      </c>
      <c r="B45">
        <v>3442</v>
      </c>
      <c r="C45">
        <v>2652.5</v>
      </c>
      <c r="D45">
        <v>789.5</v>
      </c>
    </row>
    <row r="46" spans="1:4" x14ac:dyDescent="0.25">
      <c r="A46" s="48" t="s">
        <v>211</v>
      </c>
      <c r="B46">
        <v>3701</v>
      </c>
      <c r="C46">
        <v>2580</v>
      </c>
      <c r="D46">
        <v>1121</v>
      </c>
    </row>
    <row r="47" spans="1:4" x14ac:dyDescent="0.25">
      <c r="A47" s="48" t="s">
        <v>212</v>
      </c>
      <c r="B47">
        <v>3093.5</v>
      </c>
      <c r="C47">
        <v>2652.5</v>
      </c>
      <c r="D47">
        <v>441</v>
      </c>
    </row>
    <row r="48" spans="1:4" x14ac:dyDescent="0.25">
      <c r="A48" s="48" t="s">
        <v>213</v>
      </c>
      <c r="B48">
        <v>4597.5</v>
      </c>
      <c r="C48">
        <v>2712.5</v>
      </c>
      <c r="D48">
        <v>1885</v>
      </c>
    </row>
    <row r="49" spans="1:4" x14ac:dyDescent="0.25">
      <c r="A49" s="48" t="s">
        <v>223</v>
      </c>
      <c r="B49">
        <v>3643.5483870967741</v>
      </c>
      <c r="C49">
        <v>2701.6129032258063</v>
      </c>
      <c r="D49">
        <v>941.93548387096769</v>
      </c>
    </row>
  </sheetData>
  <pageMargins left="0.7" right="0.7" top="0.75" bottom="0.75" header="0.3" footer="0.3"/>
  <pageSetup paperSize="9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3CFD-CEA4-47C3-B5D0-E89D2E997721}">
  <sheetPr codeName="Sheet6"/>
  <dimension ref="A1:J64"/>
  <sheetViews>
    <sheetView workbookViewId="0">
      <selection activeCell="G2" sqref="G2"/>
    </sheetView>
  </sheetViews>
  <sheetFormatPr defaultRowHeight="15" x14ac:dyDescent="0.25"/>
  <cols>
    <col min="1" max="1" width="11.140625" style="2" customWidth="1"/>
    <col min="2" max="3" width="30" customWidth="1"/>
    <col min="4" max="4" width="8.5703125" customWidth="1"/>
    <col min="5" max="5" width="10.5703125" bestFit="1" customWidth="1"/>
    <col min="6" max="6" width="22.140625" bestFit="1" customWidth="1"/>
    <col min="7" max="7" width="22.42578125" customWidth="1"/>
    <col min="9" max="9" width="30.5703125" bestFit="1" customWidth="1"/>
    <col min="10" max="10" width="16.28515625" bestFit="1" customWidth="1"/>
  </cols>
  <sheetData>
    <row r="1" spans="1:10" x14ac:dyDescent="0.25">
      <c r="A1" s="12" t="s">
        <v>0</v>
      </c>
      <c r="B1" s="4" t="s">
        <v>2</v>
      </c>
      <c r="C1" s="54" t="s">
        <v>230</v>
      </c>
      <c r="D1" s="67"/>
      <c r="E1" s="15" t="s">
        <v>123</v>
      </c>
      <c r="F1" s="10" t="s">
        <v>124</v>
      </c>
      <c r="G1" s="10" t="s">
        <v>230</v>
      </c>
      <c r="I1" s="55" t="s">
        <v>236</v>
      </c>
      <c r="J1" s="56">
        <f>MATCH(MAX($C$2:$C$61),$C$2:$C$61,0)</f>
        <v>52</v>
      </c>
    </row>
    <row r="2" spans="1:10" x14ac:dyDescent="0.25">
      <c r="A2" s="45" t="s">
        <v>1</v>
      </c>
      <c r="B2" t="s">
        <v>3</v>
      </c>
      <c r="C2">
        <f>COUNTIF(Table2[[breakfast 1]:[dinner 5]],'Most preferred food &amp; exercise'!A2)</f>
        <v>7</v>
      </c>
      <c r="E2" s="45" t="s">
        <v>188</v>
      </c>
      <c r="F2" t="s">
        <v>125</v>
      </c>
      <c r="G2">
        <f>COUNTIF(Table2[[exercise 1]:[exercise 5]],'Most preferred food &amp; exercise'!E2)</f>
        <v>6</v>
      </c>
      <c r="I2" s="57" t="s">
        <v>237</v>
      </c>
      <c r="J2" s="58" t="str">
        <f>INDEX($A$2:$A$61,MATCH(MAX($C$2:$C$61),$C$2:$C$61,0))</f>
        <v>33a</v>
      </c>
    </row>
    <row r="3" spans="1:10" ht="15.75" thickBot="1" x14ac:dyDescent="0.3">
      <c r="A3" s="45" t="s">
        <v>5</v>
      </c>
      <c r="B3" t="s">
        <v>6</v>
      </c>
      <c r="C3">
        <f>COUNTIF(Table2[[breakfast 1]:[dinner 5]],'Most preferred food &amp; exercise'!A3)</f>
        <v>2</v>
      </c>
      <c r="E3" s="45" t="s">
        <v>187</v>
      </c>
      <c r="F3" t="s">
        <v>126</v>
      </c>
      <c r="G3">
        <f>COUNTIF(Table2[[exercise 1]:[exercise 5]],'Most preferred food &amp; exercise'!E3)</f>
        <v>19</v>
      </c>
      <c r="I3" s="59" t="s">
        <v>238</v>
      </c>
      <c r="J3" s="60" t="str">
        <f>INDEX($B$2:$B$61,MATCH(MAX($C$2:$C$61),$C$2:$C$61,0))</f>
        <v>1 slice of bread</v>
      </c>
    </row>
    <row r="4" spans="1:10" ht="15.75" thickBot="1" x14ac:dyDescent="0.3">
      <c r="A4" s="45" t="s">
        <v>7</v>
      </c>
      <c r="B4" t="s">
        <v>8</v>
      </c>
      <c r="C4">
        <f>COUNTIF(Table2[[breakfast 1]:[dinner 5]],'Most preferred food &amp; exercise'!A4)</f>
        <v>8</v>
      </c>
      <c r="E4" s="45" t="s">
        <v>189</v>
      </c>
      <c r="F4" t="s">
        <v>127</v>
      </c>
      <c r="G4">
        <f>COUNTIF(Table2[[exercise 1]:[exercise 5]],'Most preferred food &amp; exercise'!E4)</f>
        <v>6</v>
      </c>
    </row>
    <row r="5" spans="1:10" x14ac:dyDescent="0.25">
      <c r="A5" s="45" t="s">
        <v>9</v>
      </c>
      <c r="B5" t="s">
        <v>10</v>
      </c>
      <c r="C5">
        <f>COUNTIF(Table2[[breakfast 1]:[dinner 5]],'Most preferred food &amp; exercise'!A5)</f>
        <v>0</v>
      </c>
      <c r="E5" s="45" t="s">
        <v>191</v>
      </c>
      <c r="F5" t="s">
        <v>128</v>
      </c>
      <c r="G5">
        <f>COUNTIF(Table2[[exercise 1]:[exercise 5]],'Most preferred food &amp; exercise'!E5)</f>
        <v>11</v>
      </c>
      <c r="I5" s="61" t="s">
        <v>234</v>
      </c>
      <c r="J5" s="62">
        <f>MATCH(MAX($G$2:$G$6),$G$2:$G$6,0)</f>
        <v>2</v>
      </c>
    </row>
    <row r="6" spans="1:10" ht="15.75" thickBot="1" x14ac:dyDescent="0.3">
      <c r="A6" s="45" t="s">
        <v>11</v>
      </c>
      <c r="B6" t="s">
        <v>12</v>
      </c>
      <c r="C6">
        <f>COUNTIF(Table2[[breakfast 1]:[dinner 5]],'Most preferred food &amp; exercise'!A6)</f>
        <v>5</v>
      </c>
      <c r="E6" s="46" t="s">
        <v>190</v>
      </c>
      <c r="F6" s="8" t="s">
        <v>129</v>
      </c>
      <c r="G6">
        <f>COUNTIF(Table2[[exercise 1]:[exercise 5]],'Most preferred food &amp; exercise'!E6)</f>
        <v>10</v>
      </c>
      <c r="I6" s="63" t="s">
        <v>235</v>
      </c>
      <c r="J6" s="64" t="str">
        <f>INDEX($E$2:$E$6,MATCH(MAX($G$2:$G$6),$G$2:$G$6,0))</f>
        <v>42</v>
      </c>
    </row>
    <row r="7" spans="1:10" ht="15.75" thickBot="1" x14ac:dyDescent="0.3">
      <c r="A7" s="45" t="s">
        <v>13</v>
      </c>
      <c r="B7" t="s">
        <v>14</v>
      </c>
      <c r="C7">
        <f>COUNTIF(Table2[[breakfast 1]:[dinner 5]],'Most preferred food &amp; exercise'!A7)</f>
        <v>6</v>
      </c>
      <c r="I7" s="65" t="s">
        <v>239</v>
      </c>
      <c r="J7" s="66" t="str">
        <f>INDEX($F$2:$F$6,MATCH(MAX($G$2:$G$6),$G$2:$G$6,0))</f>
        <v>1 hour of walking</v>
      </c>
    </row>
    <row r="8" spans="1:10" x14ac:dyDescent="0.25">
      <c r="A8" s="45" t="s">
        <v>15</v>
      </c>
      <c r="B8" t="s">
        <v>16</v>
      </c>
      <c r="C8">
        <f>COUNTIF(Table2[[breakfast 1]:[dinner 5]],'Most preferred food &amp; exercise'!A8)</f>
        <v>4</v>
      </c>
    </row>
    <row r="9" spans="1:10" x14ac:dyDescent="0.25">
      <c r="A9" s="45" t="s">
        <v>17</v>
      </c>
      <c r="B9" t="s">
        <v>18</v>
      </c>
      <c r="C9">
        <f>COUNTIF(Table2[[breakfast 1]:[dinner 5]],'Most preferred food &amp; exercise'!A9)</f>
        <v>7</v>
      </c>
    </row>
    <row r="10" spans="1:10" x14ac:dyDescent="0.25">
      <c r="A10" s="45">
        <v>4</v>
      </c>
      <c r="B10" t="s">
        <v>19</v>
      </c>
      <c r="C10">
        <f>COUNTIF(Table2[[breakfast 1]:[dinner 5]],'Most preferred food &amp; exercise'!A10)</f>
        <v>7</v>
      </c>
    </row>
    <row r="11" spans="1:10" x14ac:dyDescent="0.25">
      <c r="A11" s="45" t="s">
        <v>20</v>
      </c>
      <c r="B11" t="s">
        <v>21</v>
      </c>
      <c r="C11">
        <f>COUNTIF(Table2[[breakfast 1]:[dinner 5]],'Most preferred food &amp; exercise'!A11)</f>
        <v>2</v>
      </c>
    </row>
    <row r="12" spans="1:10" x14ac:dyDescent="0.25">
      <c r="A12" s="45" t="s">
        <v>22</v>
      </c>
      <c r="B12" t="s">
        <v>23</v>
      </c>
      <c r="C12">
        <f>COUNTIF(Table2[[breakfast 1]:[dinner 5]],'Most preferred food &amp; exercise'!A12)</f>
        <v>3</v>
      </c>
    </row>
    <row r="13" spans="1:10" x14ac:dyDescent="0.25">
      <c r="A13" s="45" t="s">
        <v>24</v>
      </c>
      <c r="B13" t="s">
        <v>25</v>
      </c>
      <c r="C13">
        <f>COUNTIF(Table2[[breakfast 1]:[dinner 5]],'Most preferred food &amp; exercise'!A13)</f>
        <v>7</v>
      </c>
    </row>
    <row r="14" spans="1:10" x14ac:dyDescent="0.25">
      <c r="A14" s="45" t="s">
        <v>26</v>
      </c>
      <c r="B14" t="s">
        <v>27</v>
      </c>
      <c r="C14">
        <f>COUNTIF(Table2[[breakfast 1]:[dinner 5]],'Most preferred food &amp; exercise'!A14)</f>
        <v>2</v>
      </c>
    </row>
    <row r="15" spans="1:10" x14ac:dyDescent="0.25">
      <c r="A15" s="45" t="s">
        <v>28</v>
      </c>
      <c r="B15" t="s">
        <v>29</v>
      </c>
      <c r="C15">
        <f>COUNTIF(Table2[[breakfast 1]:[dinner 5]],'Most preferred food &amp; exercise'!A15)</f>
        <v>4</v>
      </c>
    </row>
    <row r="16" spans="1:10" x14ac:dyDescent="0.25">
      <c r="A16" s="45" t="s">
        <v>30</v>
      </c>
      <c r="B16" t="s">
        <v>31</v>
      </c>
      <c r="C16">
        <f>COUNTIF(Table2[[breakfast 1]:[dinner 5]],'Most preferred food &amp; exercise'!A16)</f>
        <v>4</v>
      </c>
    </row>
    <row r="17" spans="1:3" x14ac:dyDescent="0.25">
      <c r="A17" s="45" t="s">
        <v>32</v>
      </c>
      <c r="B17" t="s">
        <v>33</v>
      </c>
      <c r="C17">
        <f>COUNTIF(Table2[[breakfast 1]:[dinner 5]],'Most preferred food &amp; exercise'!A17)</f>
        <v>2</v>
      </c>
    </row>
    <row r="18" spans="1:3" x14ac:dyDescent="0.25">
      <c r="A18" s="45" t="s">
        <v>34</v>
      </c>
      <c r="B18" t="s">
        <v>35</v>
      </c>
      <c r="C18">
        <f>COUNTIF(Table2[[breakfast 1]:[dinner 5]],'Most preferred food &amp; exercise'!A18)</f>
        <v>9</v>
      </c>
    </row>
    <row r="19" spans="1:3" x14ac:dyDescent="0.25">
      <c r="A19" s="45" t="s">
        <v>36</v>
      </c>
      <c r="B19" t="s">
        <v>37</v>
      </c>
      <c r="C19">
        <f>COUNTIF(Table2[[breakfast 1]:[dinner 5]],'Most preferred food &amp; exercise'!A19)</f>
        <v>10</v>
      </c>
    </row>
    <row r="20" spans="1:3" x14ac:dyDescent="0.25">
      <c r="A20" s="45" t="s">
        <v>38</v>
      </c>
      <c r="B20" t="s">
        <v>39</v>
      </c>
      <c r="C20">
        <f>COUNTIF(Table2[[breakfast 1]:[dinner 5]],'Most preferred food &amp; exercise'!A20)</f>
        <v>12</v>
      </c>
    </row>
    <row r="21" spans="1:3" x14ac:dyDescent="0.25">
      <c r="A21" s="45" t="s">
        <v>40</v>
      </c>
      <c r="B21" t="s">
        <v>41</v>
      </c>
      <c r="C21">
        <f>COUNTIF(Table2[[breakfast 1]:[dinner 5]],'Most preferred food &amp; exercise'!A21)</f>
        <v>19</v>
      </c>
    </row>
    <row r="22" spans="1:3" x14ac:dyDescent="0.25">
      <c r="A22" s="45" t="s">
        <v>42</v>
      </c>
      <c r="B22" t="s">
        <v>43</v>
      </c>
      <c r="C22">
        <f>COUNTIF(Table2[[breakfast 1]:[dinner 5]],'Most preferred food &amp; exercise'!A22)</f>
        <v>12</v>
      </c>
    </row>
    <row r="23" spans="1:3" x14ac:dyDescent="0.25">
      <c r="A23" s="45" t="s">
        <v>44</v>
      </c>
      <c r="B23" t="s">
        <v>45</v>
      </c>
      <c r="C23">
        <f>COUNTIF(Table2[[breakfast 1]:[dinner 5]],'Most preferred food &amp; exercise'!A23)</f>
        <v>4</v>
      </c>
    </row>
    <row r="24" spans="1:3" x14ac:dyDescent="0.25">
      <c r="A24" s="45" t="s">
        <v>46</v>
      </c>
      <c r="B24" t="s">
        <v>47</v>
      </c>
      <c r="C24">
        <f>COUNTIF(Table2[[breakfast 1]:[dinner 5]],'Most preferred food &amp; exercise'!A24)</f>
        <v>11</v>
      </c>
    </row>
    <row r="25" spans="1:3" x14ac:dyDescent="0.25">
      <c r="A25" s="45" t="s">
        <v>48</v>
      </c>
      <c r="B25" t="s">
        <v>49</v>
      </c>
      <c r="C25">
        <f>COUNTIF(Table2[[breakfast 1]:[dinner 5]],'Most preferred food &amp; exercise'!A25)</f>
        <v>2</v>
      </c>
    </row>
    <row r="26" spans="1:3" x14ac:dyDescent="0.25">
      <c r="A26" s="45" t="s">
        <v>50</v>
      </c>
      <c r="B26" t="s">
        <v>51</v>
      </c>
      <c r="C26">
        <f>COUNTIF(Table2[[breakfast 1]:[dinner 5]],'Most preferred food &amp; exercise'!A26)</f>
        <v>10</v>
      </c>
    </row>
    <row r="27" spans="1:3" x14ac:dyDescent="0.25">
      <c r="A27" s="45" t="s">
        <v>52</v>
      </c>
      <c r="B27" t="s">
        <v>53</v>
      </c>
      <c r="C27">
        <f>COUNTIF(Table2[[breakfast 1]:[dinner 5]],'Most preferred food &amp; exercise'!A27)</f>
        <v>2</v>
      </c>
    </row>
    <row r="28" spans="1:3" x14ac:dyDescent="0.25">
      <c r="A28" s="45" t="s">
        <v>54</v>
      </c>
      <c r="B28" t="s">
        <v>55</v>
      </c>
      <c r="C28">
        <f>COUNTIF(Table2[[breakfast 1]:[dinner 5]],'Most preferred food &amp; exercise'!A28)</f>
        <v>11</v>
      </c>
    </row>
    <row r="29" spans="1:3" x14ac:dyDescent="0.25">
      <c r="A29" s="45" t="s">
        <v>56</v>
      </c>
      <c r="B29" t="s">
        <v>57</v>
      </c>
      <c r="C29">
        <f>COUNTIF(Table2[[breakfast 1]:[dinner 5]],'Most preferred food &amp; exercise'!A29)</f>
        <v>3</v>
      </c>
    </row>
    <row r="30" spans="1:3" x14ac:dyDescent="0.25">
      <c r="A30" s="45" t="s">
        <v>58</v>
      </c>
      <c r="B30" t="s">
        <v>59</v>
      </c>
      <c r="C30">
        <f>COUNTIF(Table2[[breakfast 1]:[dinner 5]],'Most preferred food &amp; exercise'!A30)</f>
        <v>12</v>
      </c>
    </row>
    <row r="31" spans="1:3" x14ac:dyDescent="0.25">
      <c r="A31" s="45" t="s">
        <v>60</v>
      </c>
      <c r="B31" t="s">
        <v>61</v>
      </c>
      <c r="C31">
        <f>COUNTIF(Table2[[breakfast 1]:[dinner 5]],'Most preferred food &amp; exercise'!A31)</f>
        <v>2</v>
      </c>
    </row>
    <row r="32" spans="1:3" x14ac:dyDescent="0.25">
      <c r="A32" s="45" t="s">
        <v>62</v>
      </c>
      <c r="B32" t="s">
        <v>63</v>
      </c>
      <c r="C32">
        <f>COUNTIF(Table2[[breakfast 1]:[dinner 5]],'Most preferred food &amp; exercise'!A32)</f>
        <v>8</v>
      </c>
    </row>
    <row r="33" spans="1:3" x14ac:dyDescent="0.25">
      <c r="A33" s="45" t="s">
        <v>64</v>
      </c>
      <c r="B33" t="s">
        <v>65</v>
      </c>
      <c r="C33">
        <f>COUNTIF(Table2[[breakfast 1]:[dinner 5]],'Most preferred food &amp; exercise'!A33)</f>
        <v>4</v>
      </c>
    </row>
    <row r="34" spans="1:3" x14ac:dyDescent="0.25">
      <c r="A34" s="45" t="s">
        <v>66</v>
      </c>
      <c r="B34" t="s">
        <v>67</v>
      </c>
      <c r="C34">
        <f>COUNTIF(Table2[[breakfast 1]:[dinner 5]],'Most preferred food &amp; exercise'!A34)</f>
        <v>3</v>
      </c>
    </row>
    <row r="35" spans="1:3" x14ac:dyDescent="0.25">
      <c r="A35" s="45" t="s">
        <v>68</v>
      </c>
      <c r="B35" t="s">
        <v>69</v>
      </c>
      <c r="C35">
        <f>COUNTIF(Table2[[breakfast 1]:[dinner 5]],'Most preferred food &amp; exercise'!A35)</f>
        <v>3</v>
      </c>
    </row>
    <row r="36" spans="1:3" x14ac:dyDescent="0.25">
      <c r="A36" s="45" t="s">
        <v>70</v>
      </c>
      <c r="B36" t="s">
        <v>71</v>
      </c>
      <c r="C36">
        <f>COUNTIF(Table2[[breakfast 1]:[dinner 5]],'Most preferred food &amp; exercise'!A36)</f>
        <v>3</v>
      </c>
    </row>
    <row r="37" spans="1:3" x14ac:dyDescent="0.25">
      <c r="A37" s="45" t="s">
        <v>72</v>
      </c>
      <c r="B37" t="s">
        <v>73</v>
      </c>
      <c r="C37">
        <f>COUNTIF(Table2[[breakfast 1]:[dinner 5]],'Most preferred food &amp; exercise'!A37)</f>
        <v>0</v>
      </c>
    </row>
    <row r="38" spans="1:3" x14ac:dyDescent="0.25">
      <c r="A38" s="45" t="s">
        <v>74</v>
      </c>
      <c r="B38" t="s">
        <v>75</v>
      </c>
      <c r="C38">
        <f>COUNTIF(Table2[[breakfast 1]:[dinner 5]],'Most preferred food &amp; exercise'!A38)</f>
        <v>5</v>
      </c>
    </row>
    <row r="39" spans="1:3" x14ac:dyDescent="0.25">
      <c r="A39" s="45" t="s">
        <v>76</v>
      </c>
      <c r="B39" t="s">
        <v>77</v>
      </c>
      <c r="C39">
        <f>COUNTIF(Table2[[breakfast 1]:[dinner 5]],'Most preferred food &amp; exercise'!A39)</f>
        <v>1</v>
      </c>
    </row>
    <row r="40" spans="1:3" x14ac:dyDescent="0.25">
      <c r="A40" s="45" t="s">
        <v>78</v>
      </c>
      <c r="B40" t="s">
        <v>79</v>
      </c>
      <c r="C40">
        <f>COUNTIF(Table2[[breakfast 1]:[dinner 5]],'Most preferred food &amp; exercise'!A40)</f>
        <v>8</v>
      </c>
    </row>
    <row r="41" spans="1:3" x14ac:dyDescent="0.25">
      <c r="A41" s="45" t="s">
        <v>80</v>
      </c>
      <c r="B41" t="s">
        <v>81</v>
      </c>
      <c r="C41">
        <f>COUNTIF(Table2[[breakfast 1]:[dinner 5]],'Most preferred food &amp; exercise'!A41)</f>
        <v>2</v>
      </c>
    </row>
    <row r="42" spans="1:3" x14ac:dyDescent="0.25">
      <c r="A42" s="45" t="s">
        <v>82</v>
      </c>
      <c r="B42" t="s">
        <v>83</v>
      </c>
      <c r="C42">
        <f>COUNTIF(Table2[[breakfast 1]:[dinner 5]],'Most preferred food &amp; exercise'!A42)</f>
        <v>8</v>
      </c>
    </row>
    <row r="43" spans="1:3" x14ac:dyDescent="0.25">
      <c r="A43" s="45" t="s">
        <v>84</v>
      </c>
      <c r="B43" t="s">
        <v>85</v>
      </c>
      <c r="C43">
        <f>COUNTIF(Table2[[breakfast 1]:[dinner 5]],'Most preferred food &amp; exercise'!A43)</f>
        <v>13</v>
      </c>
    </row>
    <row r="44" spans="1:3" x14ac:dyDescent="0.25">
      <c r="A44" s="45" t="s">
        <v>86</v>
      </c>
      <c r="B44" t="s">
        <v>87</v>
      </c>
      <c r="C44">
        <f>COUNTIF(Table2[[breakfast 1]:[dinner 5]],'Most preferred food &amp; exercise'!A44)</f>
        <v>6</v>
      </c>
    </row>
    <row r="45" spans="1:3" x14ac:dyDescent="0.25">
      <c r="A45" s="45" t="s">
        <v>88</v>
      </c>
      <c r="B45" t="s">
        <v>89</v>
      </c>
      <c r="C45">
        <f>COUNTIF(Table2[[breakfast 1]:[dinner 5]],'Most preferred food &amp; exercise'!A45)</f>
        <v>3</v>
      </c>
    </row>
    <row r="46" spans="1:3" x14ac:dyDescent="0.25">
      <c r="A46" s="45" t="s">
        <v>90</v>
      </c>
      <c r="B46" t="s">
        <v>91</v>
      </c>
      <c r="C46">
        <f>COUNTIF(Table2[[breakfast 1]:[dinner 5]],'Most preferred food &amp; exercise'!A46)</f>
        <v>11</v>
      </c>
    </row>
    <row r="47" spans="1:3" x14ac:dyDescent="0.25">
      <c r="A47" s="45" t="s">
        <v>92</v>
      </c>
      <c r="B47" t="s">
        <v>93</v>
      </c>
      <c r="C47">
        <f>COUNTIF(Table2[[breakfast 1]:[dinner 5]],'Most preferred food &amp; exercise'!A47)</f>
        <v>21</v>
      </c>
    </row>
    <row r="48" spans="1:3" x14ac:dyDescent="0.25">
      <c r="A48" s="45" t="s">
        <v>94</v>
      </c>
      <c r="B48" t="s">
        <v>95</v>
      </c>
      <c r="C48">
        <f>COUNTIF(Table2[[breakfast 1]:[dinner 5]],'Most preferred food &amp; exercise'!A48)</f>
        <v>6</v>
      </c>
    </row>
    <row r="49" spans="1:3" x14ac:dyDescent="0.25">
      <c r="A49" s="45" t="s">
        <v>96</v>
      </c>
      <c r="B49" t="s">
        <v>97</v>
      </c>
      <c r="C49">
        <f>COUNTIF(Table2[[breakfast 1]:[dinner 5]],'Most preferred food &amp; exercise'!A49)</f>
        <v>5</v>
      </c>
    </row>
    <row r="50" spans="1:3" x14ac:dyDescent="0.25">
      <c r="A50" s="45" t="s">
        <v>98</v>
      </c>
      <c r="B50" t="s">
        <v>99</v>
      </c>
      <c r="C50">
        <f>COUNTIF(Table2[[breakfast 1]:[dinner 5]],'Most preferred food &amp; exercise'!A50)</f>
        <v>5</v>
      </c>
    </row>
    <row r="51" spans="1:3" x14ac:dyDescent="0.25">
      <c r="A51" s="45" t="s">
        <v>100</v>
      </c>
      <c r="B51" t="s">
        <v>101</v>
      </c>
      <c r="C51">
        <f>COUNTIF(Table2[[breakfast 1]:[dinner 5]],'Most preferred food &amp; exercise'!A51)</f>
        <v>11</v>
      </c>
    </row>
    <row r="52" spans="1:3" x14ac:dyDescent="0.25">
      <c r="A52" s="45" t="s">
        <v>102</v>
      </c>
      <c r="B52" t="s">
        <v>103</v>
      </c>
      <c r="C52">
        <f>COUNTIF(Table2[[breakfast 1]:[dinner 5]],'Most preferred food &amp; exercise'!A52)</f>
        <v>6</v>
      </c>
    </row>
    <row r="53" spans="1:3" x14ac:dyDescent="0.25">
      <c r="A53" s="45" t="s">
        <v>105</v>
      </c>
      <c r="B53" t="s">
        <v>104</v>
      </c>
      <c r="C53">
        <f>COUNTIF(Table2[[breakfast 1]:[dinner 5]],'Most preferred food &amp; exercise'!A53)</f>
        <v>23</v>
      </c>
    </row>
    <row r="54" spans="1:3" x14ac:dyDescent="0.25">
      <c r="A54" s="45" t="s">
        <v>106</v>
      </c>
      <c r="B54" t="s">
        <v>107</v>
      </c>
      <c r="C54">
        <f>COUNTIF(Table2[[breakfast 1]:[dinner 5]],'Most preferred food &amp; exercise'!A54)</f>
        <v>13</v>
      </c>
    </row>
    <row r="55" spans="1:3" x14ac:dyDescent="0.25">
      <c r="A55" s="45" t="s">
        <v>108</v>
      </c>
      <c r="B55" t="s">
        <v>109</v>
      </c>
      <c r="C55">
        <f>COUNTIF(Table2[[breakfast 1]:[dinner 5]],'Most preferred food &amp; exercise'!A55)</f>
        <v>8</v>
      </c>
    </row>
    <row r="56" spans="1:3" x14ac:dyDescent="0.25">
      <c r="A56" s="45" t="s">
        <v>110</v>
      </c>
      <c r="B56" t="s">
        <v>111</v>
      </c>
      <c r="C56">
        <f>COUNTIF(Table2[[breakfast 1]:[dinner 5]],'Most preferred food &amp; exercise'!A56)</f>
        <v>10</v>
      </c>
    </row>
    <row r="57" spans="1:3" x14ac:dyDescent="0.25">
      <c r="A57" s="45" t="s">
        <v>112</v>
      </c>
      <c r="B57" t="s">
        <v>113</v>
      </c>
      <c r="C57">
        <f>COUNTIF(Table2[[breakfast 1]:[dinner 5]],'Most preferred food &amp; exercise'!A57)</f>
        <v>18</v>
      </c>
    </row>
    <row r="58" spans="1:3" x14ac:dyDescent="0.25">
      <c r="A58" s="45" t="s">
        <v>114</v>
      </c>
      <c r="B58" t="s">
        <v>115</v>
      </c>
      <c r="C58">
        <f>COUNTIF(Table2[[breakfast 1]:[dinner 5]],'Most preferred food &amp; exercise'!A58)</f>
        <v>10</v>
      </c>
    </row>
    <row r="59" spans="1:3" x14ac:dyDescent="0.25">
      <c r="A59" s="45" t="s">
        <v>116</v>
      </c>
      <c r="B59" t="s">
        <v>117</v>
      </c>
      <c r="C59">
        <f>COUNTIF(Table2[[breakfast 1]:[dinner 5]],'Most preferred food &amp; exercise'!A59)</f>
        <v>5</v>
      </c>
    </row>
    <row r="60" spans="1:3" x14ac:dyDescent="0.25">
      <c r="A60" s="45" t="s">
        <v>118</v>
      </c>
      <c r="B60" t="s">
        <v>119</v>
      </c>
      <c r="C60">
        <f>COUNTIF(Table2[[breakfast 1]:[dinner 5]],'Most preferred food &amp; exercise'!A60)</f>
        <v>7</v>
      </c>
    </row>
    <row r="61" spans="1:3" ht="15.75" thickBot="1" x14ac:dyDescent="0.3">
      <c r="A61" s="46" t="s">
        <v>120</v>
      </c>
      <c r="B61" s="8" t="s">
        <v>121</v>
      </c>
      <c r="C61">
        <f>COUNTIF(Table2[[breakfast 1]:[dinner 5]],'Most preferred food &amp; exercise'!A61)</f>
        <v>10</v>
      </c>
    </row>
    <row r="62" spans="1:3" x14ac:dyDescent="0.25">
      <c r="B62" t="s">
        <v>231</v>
      </c>
      <c r="C62">
        <f>MATCH(MAX($C$2:$C$61),$C$2:$C$61,0)</f>
        <v>52</v>
      </c>
    </row>
    <row r="63" spans="1:3" x14ac:dyDescent="0.25">
      <c r="B63" t="s">
        <v>232</v>
      </c>
      <c r="C63" t="str">
        <f>INDEX($A$2:$A$61,MATCH(MAX($C$2:$C$61),$C$2:$C$61,0))</f>
        <v>33a</v>
      </c>
    </row>
    <row r="64" spans="1:3" x14ac:dyDescent="0.25">
      <c r="B64" t="s">
        <v>233</v>
      </c>
      <c r="C64" t="str">
        <f>INDEX($B$2:$B$61,MATCH(MAX($C$2:$C$61),$C$2:$C$61,0))</f>
        <v>1 slice of bread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697C0-F2CA-4C91-86DC-A5C3C33F9B9C}">
  <sheetPr codeName="Sheet7"/>
  <dimension ref="B1"/>
  <sheetViews>
    <sheetView workbookViewId="0">
      <selection activeCell="N26" sqref="N26"/>
    </sheetView>
  </sheetViews>
  <sheetFormatPr defaultRowHeight="15" x14ac:dyDescent="0.25"/>
  <sheetData>
    <row r="1" spans="2:2" x14ac:dyDescent="0.25">
      <c r="B1" t="str">
        <f>IFERROR(VLOOKUP(A1,Table3[#All],4,0),"")</f>
        <v/>
      </c>
    </row>
  </sheetData>
  <phoneticPr fontId="4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E87-6EE9-4536-817E-5C727CFA3E4B}">
  <sheetPr codeName="Sheet8"/>
  <dimension ref="A1:K34"/>
  <sheetViews>
    <sheetView workbookViewId="0">
      <selection activeCell="K4" sqref="K4"/>
    </sheetView>
  </sheetViews>
  <sheetFormatPr defaultRowHeight="15" x14ac:dyDescent="0.25"/>
  <cols>
    <col min="1" max="1" width="18.140625" bestFit="1" customWidth="1"/>
    <col min="2" max="2" width="12" customWidth="1"/>
    <col min="4" max="4" width="10.7109375" bestFit="1" customWidth="1"/>
    <col min="5" max="5" width="16.42578125" bestFit="1" customWidth="1"/>
    <col min="6" max="6" width="12.5703125" bestFit="1" customWidth="1"/>
    <col min="9" max="9" width="9.7109375" bestFit="1" customWidth="1"/>
    <col min="10" max="10" width="18.42578125" bestFit="1" customWidth="1"/>
  </cols>
  <sheetData>
    <row r="1" spans="1:11" x14ac:dyDescent="0.25">
      <c r="A1" s="76" t="s">
        <v>244</v>
      </c>
      <c r="B1" s="68">
        <f>AVERAGE(A4:A34)</f>
        <v>941.93548387096769</v>
      </c>
    </row>
    <row r="2" spans="1:11" ht="15.75" thickBot="1" x14ac:dyDescent="0.3">
      <c r="A2" s="77" t="s">
        <v>245</v>
      </c>
      <c r="B2" s="69">
        <f>_xlfn.STDEV.S(A4:A34)</f>
        <v>764.80446021554519</v>
      </c>
    </row>
    <row r="3" spans="1:11" ht="15.75" thickBot="1" x14ac:dyDescent="0.3">
      <c r="A3" s="74" t="s">
        <v>198</v>
      </c>
      <c r="B3" s="78"/>
      <c r="C3" s="70" t="s">
        <v>246</v>
      </c>
      <c r="D3" s="70" t="s">
        <v>247</v>
      </c>
      <c r="E3" s="70" t="s">
        <v>248</v>
      </c>
      <c r="F3" s="70" t="s">
        <v>249</v>
      </c>
      <c r="G3" s="70" t="s">
        <v>250</v>
      </c>
      <c r="I3" s="71" t="s">
        <v>251</v>
      </c>
      <c r="J3" s="71" t="s">
        <v>252</v>
      </c>
      <c r="K3" s="72" t="s">
        <v>253</v>
      </c>
    </row>
    <row r="4" spans="1:11" ht="15.75" thickBot="1" x14ac:dyDescent="0.3">
      <c r="A4">
        <v>-557</v>
      </c>
      <c r="C4">
        <f>RANK(A4,$A$4:$A$34,1)</f>
        <v>1</v>
      </c>
      <c r="D4">
        <f>C4/COUNT($C$4:$C$34)</f>
        <v>3.2258064516129031E-2</v>
      </c>
      <c r="E4">
        <f>_xlfn.NORM.INV(D4,0,1)</f>
        <v>-1.8485962885014084</v>
      </c>
      <c r="F4">
        <f>(A4-$B$1)/$B$2</f>
        <v>-1.9598937530365894</v>
      </c>
      <c r="G4">
        <f>ABS(((F4-E4)^2)/E4)</f>
        <v>6.7008279141367692E-3</v>
      </c>
      <c r="I4">
        <f>SUM(G4:G33)</f>
        <v>1.9784264435562697</v>
      </c>
      <c r="J4">
        <f>30-3</f>
        <v>27</v>
      </c>
      <c r="K4" s="73">
        <f>_xlfn.CHISQ.DIST.RT(I4,J4)</f>
        <v>0.99999999998507638</v>
      </c>
    </row>
    <row r="5" spans="1:11" x14ac:dyDescent="0.25">
      <c r="A5">
        <v>-126</v>
      </c>
      <c r="C5">
        <f t="shared" ref="C5:C34" si="0">RANK(A5,$A$4:$A$34,1)</f>
        <v>2</v>
      </c>
      <c r="D5">
        <f t="shared" ref="D5:D33" si="1">C5/COUNT($C$4:$C$34)</f>
        <v>6.4516129032258063E-2</v>
      </c>
      <c r="E5">
        <f t="shared" ref="E5:E33" si="2">_xlfn.NORM.INV(D5,0,1)</f>
        <v>-1.5179291595942785</v>
      </c>
      <c r="F5">
        <f t="shared" ref="F5:F33" si="3">(A5-$B$1)/$B$2</f>
        <v>-1.3963510144409867</v>
      </c>
      <c r="G5">
        <f t="shared" ref="G5:G33" si="4">ABS(((F5-E5)^2)/E5)</f>
        <v>9.7377702282665894E-3</v>
      </c>
    </row>
    <row r="6" spans="1:11" x14ac:dyDescent="0.25">
      <c r="A6">
        <v>-24</v>
      </c>
      <c r="C6">
        <f t="shared" si="0"/>
        <v>3</v>
      </c>
      <c r="D6">
        <f t="shared" si="1"/>
        <v>9.6774193548387094E-2</v>
      </c>
      <c r="E6">
        <f t="shared" si="2"/>
        <v>-1.3001534333634226</v>
      </c>
      <c r="F6">
        <f t="shared" si="3"/>
        <v>-1.2629835913858787</v>
      </c>
      <c r="G6">
        <f t="shared" si="4"/>
        <v>1.0626416215057579E-3</v>
      </c>
    </row>
    <row r="7" spans="1:11" x14ac:dyDescent="0.25">
      <c r="A7">
        <v>-10</v>
      </c>
      <c r="C7">
        <f t="shared" si="0"/>
        <v>4</v>
      </c>
      <c r="D7">
        <f t="shared" si="1"/>
        <v>0.12903225806451613</v>
      </c>
      <c r="E7">
        <f t="shared" si="2"/>
        <v>-1.1309776082451586</v>
      </c>
      <c r="F7">
        <f t="shared" si="3"/>
        <v>-1.2446782588096874</v>
      </c>
      <c r="G7">
        <f t="shared" si="4"/>
        <v>1.1430675412624759E-2</v>
      </c>
    </row>
    <row r="8" spans="1:11" x14ac:dyDescent="0.25">
      <c r="A8">
        <v>49</v>
      </c>
      <c r="C8">
        <f t="shared" si="0"/>
        <v>5</v>
      </c>
      <c r="D8">
        <f t="shared" si="1"/>
        <v>0.16129032258064516</v>
      </c>
      <c r="E8">
        <f t="shared" si="2"/>
        <v>-0.98916862734063549</v>
      </c>
      <c r="F8">
        <f t="shared" si="3"/>
        <v>-1.1675343572385957</v>
      </c>
      <c r="G8">
        <f t="shared" si="4"/>
        <v>3.2162699789179953E-2</v>
      </c>
    </row>
    <row r="9" spans="1:11" x14ac:dyDescent="0.25">
      <c r="A9">
        <v>56</v>
      </c>
      <c r="C9">
        <f t="shared" si="0"/>
        <v>6</v>
      </c>
      <c r="D9">
        <f t="shared" si="1"/>
        <v>0.19354838709677419</v>
      </c>
      <c r="E9">
        <f t="shared" si="2"/>
        <v>-0.86489435868528253</v>
      </c>
      <c r="F9">
        <f t="shared" si="3"/>
        <v>-1.1583816909505</v>
      </c>
      <c r="G9">
        <f t="shared" si="4"/>
        <v>9.9589982678447417E-2</v>
      </c>
    </row>
    <row r="10" spans="1:11" x14ac:dyDescent="0.25">
      <c r="A10">
        <v>160</v>
      </c>
      <c r="C10">
        <f t="shared" si="0"/>
        <v>7</v>
      </c>
      <c r="D10">
        <f t="shared" si="1"/>
        <v>0.22580645161290322</v>
      </c>
      <c r="E10">
        <f t="shared" si="2"/>
        <v>-0.75272879425816996</v>
      </c>
      <c r="F10">
        <f t="shared" si="3"/>
        <v>-1.0223992203845078</v>
      </c>
      <c r="G10">
        <f t="shared" si="4"/>
        <v>9.6611341670315459E-2</v>
      </c>
    </row>
    <row r="11" spans="1:11" x14ac:dyDescent="0.25">
      <c r="A11">
        <v>183</v>
      </c>
      <c r="C11">
        <f t="shared" si="0"/>
        <v>8</v>
      </c>
      <c r="D11">
        <f t="shared" si="1"/>
        <v>0.25806451612903225</v>
      </c>
      <c r="E11">
        <f t="shared" si="2"/>
        <v>-0.64932391318646576</v>
      </c>
      <c r="F11">
        <f t="shared" si="3"/>
        <v>-0.99232617400933643</v>
      </c>
      <c r="G11">
        <f t="shared" si="4"/>
        <v>0.18118930866452626</v>
      </c>
    </row>
    <row r="12" spans="1:11" x14ac:dyDescent="0.25">
      <c r="A12">
        <v>385</v>
      </c>
      <c r="C12">
        <f t="shared" si="0"/>
        <v>9</v>
      </c>
      <c r="D12">
        <f t="shared" si="1"/>
        <v>0.29032258064516131</v>
      </c>
      <c r="E12">
        <f t="shared" si="2"/>
        <v>-0.55244258464677432</v>
      </c>
      <c r="F12">
        <f t="shared" si="3"/>
        <v>-0.72820637541000521</v>
      </c>
      <c r="G12">
        <f t="shared" si="4"/>
        <v>5.5920580711954701E-2</v>
      </c>
    </row>
    <row r="13" spans="1:11" x14ac:dyDescent="0.25">
      <c r="A13">
        <v>668</v>
      </c>
      <c r="C13">
        <f t="shared" si="0"/>
        <v>10</v>
      </c>
      <c r="D13">
        <f t="shared" si="1"/>
        <v>0.32258064516129031</v>
      </c>
      <c r="E13">
        <f t="shared" si="2"/>
        <v>-0.46049453910311622</v>
      </c>
      <c r="F13">
        <f t="shared" si="3"/>
        <v>-0.35817715261985311</v>
      </c>
      <c r="G13">
        <f t="shared" si="4"/>
        <v>2.2733923397126748E-2</v>
      </c>
    </row>
    <row r="14" spans="1:11" x14ac:dyDescent="0.25">
      <c r="A14">
        <v>668</v>
      </c>
      <c r="C14">
        <f t="shared" si="0"/>
        <v>10</v>
      </c>
      <c r="D14">
        <f t="shared" si="1"/>
        <v>0.32258064516129031</v>
      </c>
      <c r="E14">
        <f t="shared" si="2"/>
        <v>-0.46049453910311622</v>
      </c>
      <c r="F14">
        <f t="shared" si="3"/>
        <v>-0.35817715261985311</v>
      </c>
      <c r="G14">
        <f t="shared" si="4"/>
        <v>2.2733923397126748E-2</v>
      </c>
    </row>
    <row r="15" spans="1:11" x14ac:dyDescent="0.25">
      <c r="A15">
        <v>676</v>
      </c>
      <c r="C15">
        <f t="shared" si="0"/>
        <v>12</v>
      </c>
      <c r="D15">
        <f t="shared" si="1"/>
        <v>0.38709677419354838</v>
      </c>
      <c r="E15">
        <f t="shared" si="2"/>
        <v>-0.28689391692303928</v>
      </c>
      <c r="F15">
        <f t="shared" si="3"/>
        <v>-0.34771696257631524</v>
      </c>
      <c r="G15">
        <f t="shared" si="4"/>
        <v>1.2894811163015649E-2</v>
      </c>
    </row>
    <row r="16" spans="1:11" x14ac:dyDescent="0.25">
      <c r="A16">
        <v>722</v>
      </c>
      <c r="C16">
        <f t="shared" si="0"/>
        <v>13</v>
      </c>
      <c r="D16">
        <f t="shared" si="1"/>
        <v>0.41935483870967744</v>
      </c>
      <c r="E16">
        <f t="shared" si="2"/>
        <v>-0.20354423153248621</v>
      </c>
      <c r="F16">
        <f t="shared" si="3"/>
        <v>-0.28757086982597246</v>
      </c>
      <c r="G16">
        <f t="shared" si="4"/>
        <v>3.4687673975066689E-2</v>
      </c>
    </row>
    <row r="17" spans="1:7" x14ac:dyDescent="0.25">
      <c r="A17">
        <v>794</v>
      </c>
      <c r="C17">
        <f t="shared" si="0"/>
        <v>14</v>
      </c>
      <c r="D17">
        <f t="shared" si="1"/>
        <v>0.45161290322580644</v>
      </c>
      <c r="E17">
        <f t="shared" si="2"/>
        <v>-0.12158738275048304</v>
      </c>
      <c r="F17">
        <f t="shared" si="3"/>
        <v>-0.19342915943413164</v>
      </c>
      <c r="G17">
        <f t="shared" si="4"/>
        <v>4.2448819608650802E-2</v>
      </c>
    </row>
    <row r="18" spans="1:7" x14ac:dyDescent="0.25">
      <c r="A18">
        <v>843</v>
      </c>
      <c r="C18">
        <f t="shared" si="0"/>
        <v>15</v>
      </c>
      <c r="D18">
        <f t="shared" si="1"/>
        <v>0.4838709677419355</v>
      </c>
      <c r="E18">
        <f t="shared" si="2"/>
        <v>-4.044050856564621E-2</v>
      </c>
      <c r="F18">
        <f t="shared" si="3"/>
        <v>-0.1293604954174622</v>
      </c>
      <c r="G18">
        <f t="shared" si="4"/>
        <v>0.19551594038171519</v>
      </c>
    </row>
    <row r="19" spans="1:7" x14ac:dyDescent="0.25">
      <c r="A19">
        <v>854</v>
      </c>
      <c r="C19">
        <f t="shared" si="0"/>
        <v>16</v>
      </c>
      <c r="D19">
        <f t="shared" si="1"/>
        <v>0.5161290322580645</v>
      </c>
      <c r="E19">
        <f t="shared" si="2"/>
        <v>4.044050856564621E-2</v>
      </c>
      <c r="F19">
        <f t="shared" si="3"/>
        <v>-0.11497773410759764</v>
      </c>
      <c r="G19">
        <f t="shared" si="4"/>
        <v>0.59729293751163615</v>
      </c>
    </row>
    <row r="20" spans="1:7" x14ac:dyDescent="0.25">
      <c r="A20">
        <v>914</v>
      </c>
      <c r="C20">
        <f t="shared" si="0"/>
        <v>17</v>
      </c>
      <c r="D20">
        <f t="shared" si="1"/>
        <v>0.54838709677419351</v>
      </c>
      <c r="E20">
        <f t="shared" si="2"/>
        <v>0.12158738275048291</v>
      </c>
      <c r="F20">
        <f t="shared" si="3"/>
        <v>-3.6526308781063617E-2</v>
      </c>
      <c r="G20">
        <f t="shared" si="4"/>
        <v>0.20561294177239584</v>
      </c>
    </row>
    <row r="21" spans="1:7" x14ac:dyDescent="0.25">
      <c r="A21">
        <v>980</v>
      </c>
      <c r="C21">
        <f t="shared" si="0"/>
        <v>18</v>
      </c>
      <c r="D21">
        <f t="shared" si="1"/>
        <v>0.58064516129032262</v>
      </c>
      <c r="E21">
        <f t="shared" si="2"/>
        <v>0.20354423153248635</v>
      </c>
      <c r="F21">
        <f t="shared" si="3"/>
        <v>4.9770259078123803E-2</v>
      </c>
      <c r="G21">
        <f t="shared" si="4"/>
        <v>0.11617344508542854</v>
      </c>
    </row>
    <row r="22" spans="1:7" x14ac:dyDescent="0.25">
      <c r="A22">
        <v>1063</v>
      </c>
      <c r="C22">
        <f t="shared" si="0"/>
        <v>19</v>
      </c>
      <c r="D22">
        <f t="shared" si="1"/>
        <v>0.61290322580645162</v>
      </c>
      <c r="E22">
        <f t="shared" si="2"/>
        <v>0.28689391692303928</v>
      </c>
      <c r="F22">
        <f t="shared" si="3"/>
        <v>0.1582947307798292</v>
      </c>
      <c r="G22">
        <f t="shared" si="4"/>
        <v>5.7644131510576194E-2</v>
      </c>
    </row>
    <row r="23" spans="1:7" x14ac:dyDescent="0.25">
      <c r="A23">
        <v>1298</v>
      </c>
      <c r="C23">
        <f t="shared" si="0"/>
        <v>20</v>
      </c>
      <c r="D23">
        <f t="shared" si="1"/>
        <v>0.64516129032258063</v>
      </c>
      <c r="E23">
        <f t="shared" si="2"/>
        <v>0.37228936046519101</v>
      </c>
      <c r="F23">
        <f t="shared" si="3"/>
        <v>0.4655628133087541</v>
      </c>
      <c r="G23">
        <f t="shared" si="4"/>
        <v>2.3368750034890751E-2</v>
      </c>
    </row>
    <row r="24" spans="1:7" x14ac:dyDescent="0.25">
      <c r="A24">
        <v>1368</v>
      </c>
      <c r="C24">
        <f t="shared" si="0"/>
        <v>21</v>
      </c>
      <c r="D24">
        <f t="shared" si="1"/>
        <v>0.67741935483870963</v>
      </c>
      <c r="E24">
        <f t="shared" si="2"/>
        <v>0.460494539103116</v>
      </c>
      <c r="F24">
        <f t="shared" si="3"/>
        <v>0.5570894761897105</v>
      </c>
      <c r="G24">
        <f t="shared" si="4"/>
        <v>2.0262090162753928E-2</v>
      </c>
    </row>
    <row r="25" spans="1:7" x14ac:dyDescent="0.25">
      <c r="A25">
        <v>1368</v>
      </c>
      <c r="C25">
        <f t="shared" si="0"/>
        <v>21</v>
      </c>
      <c r="D25">
        <f t="shared" si="1"/>
        <v>0.67741935483870963</v>
      </c>
      <c r="E25">
        <f t="shared" si="2"/>
        <v>0.460494539103116</v>
      </c>
      <c r="F25">
        <f t="shared" si="3"/>
        <v>0.5570894761897105</v>
      </c>
      <c r="G25">
        <f t="shared" si="4"/>
        <v>2.0262090162753928E-2</v>
      </c>
    </row>
    <row r="26" spans="1:7" x14ac:dyDescent="0.25">
      <c r="A26">
        <v>1537</v>
      </c>
      <c r="C26">
        <f t="shared" si="0"/>
        <v>23</v>
      </c>
      <c r="D26">
        <f t="shared" si="1"/>
        <v>0.74193548387096775</v>
      </c>
      <c r="E26">
        <f t="shared" si="2"/>
        <v>0.64932391318646576</v>
      </c>
      <c r="F26">
        <f t="shared" si="3"/>
        <v>0.77806099085944791</v>
      </c>
      <c r="G26">
        <f t="shared" si="4"/>
        <v>2.5523833068843281E-2</v>
      </c>
    </row>
    <row r="27" spans="1:7" x14ac:dyDescent="0.25">
      <c r="A27">
        <v>1543</v>
      </c>
      <c r="C27">
        <f t="shared" si="0"/>
        <v>24</v>
      </c>
      <c r="D27">
        <f t="shared" si="1"/>
        <v>0.77419354838709675</v>
      </c>
      <c r="E27">
        <f t="shared" si="2"/>
        <v>0.75272879425816996</v>
      </c>
      <c r="F27">
        <f t="shared" si="3"/>
        <v>0.78590613339210136</v>
      </c>
      <c r="G27">
        <f t="shared" si="4"/>
        <v>1.462327255718567E-3</v>
      </c>
    </row>
    <row r="28" spans="1:7" x14ac:dyDescent="0.25">
      <c r="A28">
        <v>1701</v>
      </c>
      <c r="C28">
        <f t="shared" si="0"/>
        <v>25</v>
      </c>
      <c r="D28">
        <f t="shared" si="1"/>
        <v>0.80645161290322576</v>
      </c>
      <c r="E28">
        <f t="shared" si="2"/>
        <v>0.86489435868528353</v>
      </c>
      <c r="F28">
        <f t="shared" si="3"/>
        <v>0.99249488675197428</v>
      </c>
      <c r="G28">
        <f t="shared" si="4"/>
        <v>1.8825298834933168E-2</v>
      </c>
    </row>
    <row r="29" spans="1:7" x14ac:dyDescent="0.25">
      <c r="A29">
        <v>1703</v>
      </c>
      <c r="C29">
        <f t="shared" si="0"/>
        <v>26</v>
      </c>
      <c r="D29">
        <f t="shared" si="1"/>
        <v>0.83870967741935487</v>
      </c>
      <c r="E29">
        <f t="shared" si="2"/>
        <v>0.98916862734063549</v>
      </c>
      <c r="F29">
        <f t="shared" si="3"/>
        <v>0.99510993426285865</v>
      </c>
      <c r="G29">
        <f t="shared" si="4"/>
        <v>3.5685652545368402E-5</v>
      </c>
    </row>
    <row r="30" spans="1:7" x14ac:dyDescent="0.25">
      <c r="A30">
        <v>1912</v>
      </c>
      <c r="C30">
        <f t="shared" si="0"/>
        <v>27</v>
      </c>
      <c r="D30">
        <f t="shared" si="1"/>
        <v>0.87096774193548387</v>
      </c>
      <c r="E30">
        <f t="shared" si="2"/>
        <v>1.1309776082451586</v>
      </c>
      <c r="F30">
        <f t="shared" si="3"/>
        <v>1.2683823991502856</v>
      </c>
      <c r="G30">
        <f t="shared" si="4"/>
        <v>1.6693590064065268E-2</v>
      </c>
    </row>
    <row r="31" spans="1:7" x14ac:dyDescent="0.25">
      <c r="A31">
        <v>1980</v>
      </c>
      <c r="C31">
        <f t="shared" si="0"/>
        <v>28</v>
      </c>
      <c r="D31">
        <f t="shared" si="1"/>
        <v>0.90322580645161288</v>
      </c>
      <c r="E31">
        <f t="shared" si="2"/>
        <v>1.3001534333634226</v>
      </c>
      <c r="F31">
        <f t="shared" si="3"/>
        <v>1.3572940145203574</v>
      </c>
      <c r="G31">
        <f t="shared" si="4"/>
        <v>2.5112774624651501E-3</v>
      </c>
    </row>
    <row r="32" spans="1:7" x14ac:dyDescent="0.25">
      <c r="A32">
        <v>1997</v>
      </c>
      <c r="C32">
        <f t="shared" si="0"/>
        <v>29</v>
      </c>
      <c r="D32">
        <f t="shared" si="1"/>
        <v>0.93548387096774188</v>
      </c>
      <c r="E32">
        <f t="shared" si="2"/>
        <v>1.5179291595942783</v>
      </c>
      <c r="F32">
        <f t="shared" si="3"/>
        <v>1.3795219183628753</v>
      </c>
      <c r="G32">
        <f t="shared" si="4"/>
        <v>1.2620196604173593E-2</v>
      </c>
    </row>
    <row r="33" spans="1:7" x14ac:dyDescent="0.25">
      <c r="A33">
        <v>2162</v>
      </c>
      <c r="C33">
        <f t="shared" si="0"/>
        <v>30</v>
      </c>
      <c r="D33">
        <f t="shared" si="1"/>
        <v>0.967741935483871</v>
      </c>
      <c r="E33">
        <f t="shared" si="2"/>
        <v>1.8485962885014089</v>
      </c>
      <c r="F33">
        <f t="shared" si="3"/>
        <v>1.5952633380108439</v>
      </c>
      <c r="G33">
        <f t="shared" si="4"/>
        <v>3.4716927759430673E-2</v>
      </c>
    </row>
    <row r="34" spans="1:7" x14ac:dyDescent="0.25">
      <c r="A34">
        <v>2333</v>
      </c>
      <c r="C34">
        <f t="shared" si="0"/>
        <v>31</v>
      </c>
    </row>
  </sheetData>
  <sortState xmlns:xlrd2="http://schemas.microsoft.com/office/spreadsheetml/2017/richdata2" ref="A4:B34">
    <sortCondition ref="A4:A34"/>
  </sortState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E1210-9479-46D3-848A-79D6CD713738}">
  <sheetPr codeName="Sheet9"/>
  <dimension ref="A1:G32"/>
  <sheetViews>
    <sheetView topLeftCell="A19" workbookViewId="0">
      <selection activeCell="G32" sqref="G32"/>
    </sheetView>
  </sheetViews>
  <sheetFormatPr defaultRowHeight="15" x14ac:dyDescent="0.25"/>
  <cols>
    <col min="1" max="1" width="14.28515625" bestFit="1" customWidth="1"/>
    <col min="2" max="2" width="57.42578125" bestFit="1" customWidth="1"/>
    <col min="4" max="4" width="42.5703125" bestFit="1" customWidth="1"/>
    <col min="5" max="5" width="14.42578125" bestFit="1" customWidth="1"/>
    <col min="6" max="6" width="32.7109375" bestFit="1" customWidth="1"/>
  </cols>
  <sheetData>
    <row r="1" spans="1:7" x14ac:dyDescent="0.25">
      <c r="A1" s="74" t="s">
        <v>198</v>
      </c>
      <c r="B1" s="75" t="s">
        <v>265</v>
      </c>
    </row>
    <row r="2" spans="1:7" x14ac:dyDescent="0.25">
      <c r="A2">
        <v>-557</v>
      </c>
      <c r="B2">
        <v>500</v>
      </c>
    </row>
    <row r="3" spans="1:7" x14ac:dyDescent="0.25">
      <c r="A3">
        <v>-126</v>
      </c>
      <c r="B3">
        <v>500</v>
      </c>
      <c r="D3" t="s">
        <v>264</v>
      </c>
    </row>
    <row r="4" spans="1:7" ht="15.75" thickBot="1" x14ac:dyDescent="0.3">
      <c r="A4">
        <v>-24</v>
      </c>
    </row>
    <row r="5" spans="1:7" x14ac:dyDescent="0.25">
      <c r="A5">
        <v>-10</v>
      </c>
      <c r="D5" s="79"/>
      <c r="E5" s="79" t="s">
        <v>198</v>
      </c>
      <c r="F5" s="79" t="s">
        <v>243</v>
      </c>
    </row>
    <row r="6" spans="1:7" x14ac:dyDescent="0.25">
      <c r="A6">
        <v>49</v>
      </c>
      <c r="D6" t="s">
        <v>254</v>
      </c>
      <c r="E6">
        <v>941.93548387096769</v>
      </c>
      <c r="F6">
        <v>500</v>
      </c>
    </row>
    <row r="7" spans="1:7" x14ac:dyDescent="0.25">
      <c r="A7">
        <v>56</v>
      </c>
      <c r="D7" t="s">
        <v>255</v>
      </c>
      <c r="E7">
        <v>584925.86236559146</v>
      </c>
      <c r="F7">
        <v>0</v>
      </c>
    </row>
    <row r="8" spans="1:7" x14ac:dyDescent="0.25">
      <c r="A8">
        <v>160</v>
      </c>
      <c r="D8" t="s">
        <v>256</v>
      </c>
      <c r="E8">
        <v>31</v>
      </c>
      <c r="F8">
        <v>2</v>
      </c>
    </row>
    <row r="9" spans="1:7" x14ac:dyDescent="0.25">
      <c r="A9">
        <v>183</v>
      </c>
      <c r="D9" t="s">
        <v>257</v>
      </c>
      <c r="E9">
        <v>0</v>
      </c>
    </row>
    <row r="10" spans="1:7" x14ac:dyDescent="0.25">
      <c r="A10">
        <v>385</v>
      </c>
      <c r="D10" t="s">
        <v>258</v>
      </c>
      <c r="E10">
        <v>30</v>
      </c>
    </row>
    <row r="11" spans="1:7" x14ac:dyDescent="0.25">
      <c r="A11">
        <v>668</v>
      </c>
      <c r="D11" t="s">
        <v>259</v>
      </c>
      <c r="E11">
        <v>3.2172833263463789</v>
      </c>
    </row>
    <row r="12" spans="1:7" x14ac:dyDescent="0.25">
      <c r="A12">
        <v>668</v>
      </c>
      <c r="D12" t="s">
        <v>260</v>
      </c>
      <c r="E12">
        <v>1.5486898153767273E-3</v>
      </c>
    </row>
    <row r="13" spans="1:7" ht="15.75" thickBot="1" x14ac:dyDescent="0.3">
      <c r="A13">
        <v>676</v>
      </c>
      <c r="D13" t="s">
        <v>261</v>
      </c>
      <c r="E13">
        <v>1.6972608865939587</v>
      </c>
    </row>
    <row r="14" spans="1:7" ht="15.75" thickBot="1" x14ac:dyDescent="0.3">
      <c r="A14">
        <v>722</v>
      </c>
      <c r="D14" s="80" t="s">
        <v>262</v>
      </c>
      <c r="E14" s="80">
        <v>3.0973796307534546E-3</v>
      </c>
      <c r="G14" s="80">
        <f>_xlfn.T.TEST(A2:A32,B2:B3,2,3)</f>
        <v>3.0973796307534546E-3</v>
      </c>
    </row>
    <row r="15" spans="1:7" ht="15.75" thickBot="1" x14ac:dyDescent="0.3">
      <c r="A15">
        <v>794</v>
      </c>
      <c r="D15" s="8" t="s">
        <v>263</v>
      </c>
      <c r="E15" s="8">
        <v>2.0422724563012378</v>
      </c>
      <c r="F15" s="8"/>
    </row>
    <row r="16" spans="1:7" ht="15.75" thickBot="1" x14ac:dyDescent="0.3">
      <c r="A16">
        <v>843</v>
      </c>
      <c r="D16" s="8"/>
      <c r="E16" s="8"/>
      <c r="F16" s="8"/>
    </row>
    <row r="17" spans="1:1" x14ac:dyDescent="0.25">
      <c r="A17">
        <v>854</v>
      </c>
    </row>
    <row r="18" spans="1:1" x14ac:dyDescent="0.25">
      <c r="A18">
        <v>914</v>
      </c>
    </row>
    <row r="19" spans="1:1" x14ac:dyDescent="0.25">
      <c r="A19">
        <v>980</v>
      </c>
    </row>
    <row r="20" spans="1:1" x14ac:dyDescent="0.25">
      <c r="A20">
        <v>1063</v>
      </c>
    </row>
    <row r="21" spans="1:1" x14ac:dyDescent="0.25">
      <c r="A21">
        <v>1298</v>
      </c>
    </row>
    <row r="22" spans="1:1" x14ac:dyDescent="0.25">
      <c r="A22">
        <v>1368</v>
      </c>
    </row>
    <row r="23" spans="1:1" x14ac:dyDescent="0.25">
      <c r="A23">
        <v>1368</v>
      </c>
    </row>
    <row r="24" spans="1:1" x14ac:dyDescent="0.25">
      <c r="A24">
        <v>1537</v>
      </c>
    </row>
    <row r="25" spans="1:1" x14ac:dyDescent="0.25">
      <c r="A25">
        <v>1543</v>
      </c>
    </row>
    <row r="26" spans="1:1" x14ac:dyDescent="0.25">
      <c r="A26">
        <v>1701</v>
      </c>
    </row>
    <row r="27" spans="1:1" x14ac:dyDescent="0.25">
      <c r="A27">
        <v>1703</v>
      </c>
    </row>
    <row r="28" spans="1:1" x14ac:dyDescent="0.25">
      <c r="A28">
        <v>1912</v>
      </c>
    </row>
    <row r="29" spans="1:1" x14ac:dyDescent="0.25">
      <c r="A29">
        <v>1980</v>
      </c>
    </row>
    <row r="30" spans="1:1" x14ac:dyDescent="0.25">
      <c r="A30">
        <v>1997</v>
      </c>
    </row>
    <row r="31" spans="1:1" x14ac:dyDescent="0.25">
      <c r="A31">
        <v>2162</v>
      </c>
    </row>
    <row r="32" spans="1:1" x14ac:dyDescent="0.25">
      <c r="A32">
        <v>2333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6FEAD-2F06-4EAA-921F-4432E3C3A986}">
  <sheetPr codeName="Sheet10"/>
  <dimension ref="A1:M33"/>
  <sheetViews>
    <sheetView zoomScale="69" zoomScaleNormal="69" workbookViewId="0">
      <selection activeCell="E9" sqref="E9"/>
    </sheetView>
  </sheetViews>
  <sheetFormatPr defaultRowHeight="15" x14ac:dyDescent="0.25"/>
  <cols>
    <col min="2" max="2" width="10.5703125" bestFit="1" customWidth="1"/>
    <col min="3" max="3" width="13.5703125" customWidth="1"/>
    <col min="4" max="4" width="38.28515625" bestFit="1" customWidth="1"/>
    <col min="5" max="5" width="47.42578125" bestFit="1" customWidth="1"/>
    <col min="6" max="6" width="34.5703125" bestFit="1" customWidth="1"/>
    <col min="8" max="8" width="28.42578125" customWidth="1"/>
    <col min="9" max="9" width="7.85546875" customWidth="1"/>
    <col min="11" max="11" width="17" customWidth="1"/>
    <col min="12" max="12" width="26.140625" bestFit="1" customWidth="1"/>
    <col min="13" max="13" width="11.42578125" bestFit="1" customWidth="1"/>
  </cols>
  <sheetData>
    <row r="1" spans="1:13" x14ac:dyDescent="0.25">
      <c r="A1" s="93" t="s">
        <v>204</v>
      </c>
      <c r="B1" s="93" t="s">
        <v>131</v>
      </c>
      <c r="C1" s="94" t="s">
        <v>200</v>
      </c>
      <c r="D1" s="84" t="s">
        <v>266</v>
      </c>
      <c r="E1" s="85" t="s">
        <v>267</v>
      </c>
      <c r="F1" s="86" t="s">
        <v>272</v>
      </c>
      <c r="K1" s="84" t="s">
        <v>269</v>
      </c>
      <c r="L1" s="85" t="s">
        <v>270</v>
      </c>
      <c r="M1" s="86" t="s">
        <v>271</v>
      </c>
    </row>
    <row r="2" spans="1:13" x14ac:dyDescent="0.25">
      <c r="A2" s="95">
        <v>1</v>
      </c>
      <c r="B2" s="37">
        <v>44927</v>
      </c>
      <c r="C2">
        <v>80</v>
      </c>
      <c r="D2" s="87"/>
      <c r="E2" s="87"/>
      <c r="F2" s="96">
        <v>80</v>
      </c>
      <c r="H2" s="88" t="s">
        <v>273</v>
      </c>
      <c r="I2" s="91">
        <v>7</v>
      </c>
      <c r="K2" s="101"/>
      <c r="L2" s="101"/>
      <c r="M2" s="96">
        <f>(F2-C2)^2</f>
        <v>0</v>
      </c>
    </row>
    <row r="3" spans="1:13" x14ac:dyDescent="0.25">
      <c r="A3" s="95">
        <v>2</v>
      </c>
      <c r="B3" s="38">
        <v>44928</v>
      </c>
      <c r="C3">
        <v>80.050577237353068</v>
      </c>
      <c r="D3" s="87"/>
      <c r="E3" s="87"/>
      <c r="F3" s="96">
        <f>F2+($I$6*(C2-F2))</f>
        <v>80</v>
      </c>
      <c r="H3" s="89" t="s">
        <v>274</v>
      </c>
      <c r="I3" s="91">
        <v>1</v>
      </c>
      <c r="K3" s="101"/>
      <c r="L3" s="101"/>
      <c r="M3" s="96">
        <f t="shared" ref="M3:M32" si="0">(F3-C3)^2</f>
        <v>2.5580569382685279E-3</v>
      </c>
    </row>
    <row r="4" spans="1:13" x14ac:dyDescent="0.25">
      <c r="A4" s="95">
        <v>3</v>
      </c>
      <c r="B4" s="37">
        <v>44929</v>
      </c>
      <c r="C4">
        <v>80.161321681739125</v>
      </c>
      <c r="D4" s="87"/>
      <c r="E4" s="87"/>
      <c r="F4" s="96">
        <f t="shared" ref="F4:F33" si="1">F3+($I$6*(C3-F3))</f>
        <v>80.025288618676541</v>
      </c>
      <c r="H4" s="89" t="s">
        <v>275</v>
      </c>
      <c r="I4" s="91">
        <v>0.5</v>
      </c>
      <c r="K4" s="101"/>
      <c r="L4" s="101"/>
      <c r="M4" s="96">
        <f t="shared" si="0"/>
        <v>1.8504994246188927E-2</v>
      </c>
    </row>
    <row r="5" spans="1:13" x14ac:dyDescent="0.25">
      <c r="A5" s="95">
        <v>4</v>
      </c>
      <c r="B5" s="38">
        <v>44930</v>
      </c>
      <c r="C5">
        <v>80.385043851121637</v>
      </c>
      <c r="D5" s="87"/>
      <c r="E5" s="87"/>
      <c r="F5" s="96">
        <f t="shared" si="1"/>
        <v>80.09330515020784</v>
      </c>
      <c r="H5" s="90" t="s">
        <v>268</v>
      </c>
      <c r="I5" s="91">
        <v>7</v>
      </c>
      <c r="K5" s="101"/>
      <c r="L5" s="101"/>
      <c r="M5" s="96">
        <f t="shared" si="0"/>
        <v>8.5111469610869808E-2</v>
      </c>
    </row>
    <row r="6" spans="1:13" x14ac:dyDescent="0.25">
      <c r="A6" s="95">
        <v>5</v>
      </c>
      <c r="B6" s="20">
        <v>44931</v>
      </c>
      <c r="C6">
        <v>80.497233359432073</v>
      </c>
      <c r="D6" s="87"/>
      <c r="E6" s="87"/>
      <c r="F6" s="96">
        <f t="shared" si="1"/>
        <v>80.239174500664745</v>
      </c>
      <c r="H6" s="92" t="s">
        <v>276</v>
      </c>
      <c r="I6" s="91">
        <v>0.5</v>
      </c>
      <c r="K6" s="101"/>
      <c r="L6" s="101"/>
      <c r="M6" s="96">
        <f t="shared" si="0"/>
        <v>6.6594374588295535E-2</v>
      </c>
    </row>
    <row r="7" spans="1:13" x14ac:dyDescent="0.25">
      <c r="A7" s="95">
        <v>6</v>
      </c>
      <c r="B7" s="20">
        <v>44932</v>
      </c>
      <c r="C7">
        <v>80.676946763845038</v>
      </c>
      <c r="D7" s="87"/>
      <c r="E7" s="87"/>
      <c r="F7" s="96">
        <f t="shared" si="1"/>
        <v>80.368203930048409</v>
      </c>
      <c r="K7" s="101"/>
      <c r="L7" s="101"/>
      <c r="M7" s="96">
        <f t="shared" si="0"/>
        <v>9.5322137420772696E-2</v>
      </c>
    </row>
    <row r="8" spans="1:13" x14ac:dyDescent="0.25">
      <c r="A8" s="95">
        <v>7</v>
      </c>
      <c r="B8" s="20">
        <v>44933</v>
      </c>
      <c r="C8">
        <v>80.67379389710095</v>
      </c>
      <c r="D8" s="87"/>
      <c r="E8" s="87"/>
      <c r="F8" s="96">
        <f t="shared" si="1"/>
        <v>80.522575346946724</v>
      </c>
      <c r="K8" s="101"/>
      <c r="L8" s="101"/>
      <c r="M8" s="96">
        <f t="shared" si="0"/>
        <v>2.2867049910746239E-2</v>
      </c>
    </row>
    <row r="9" spans="1:13" x14ac:dyDescent="0.25">
      <c r="A9" s="95">
        <v>8</v>
      </c>
      <c r="B9" s="20">
        <v>44934</v>
      </c>
      <c r="C9">
        <v>80.844311440176995</v>
      </c>
      <c r="D9">
        <f ca="1">AVERAGE(OFFSET(C8,0,0,-$I$2))</f>
        <v>80.349273827227407</v>
      </c>
      <c r="E9">
        <f ca="1">($I$4*C8)+((1-$I$4)*AVERAGE(OFFSET(C7,0,0,-$I$3)))</f>
        <v>80.675370330472987</v>
      </c>
      <c r="F9" s="96">
        <f t="shared" si="1"/>
        <v>80.598184622023837</v>
      </c>
      <c r="H9" s="88" t="s">
        <v>277</v>
      </c>
      <c r="I9" s="91">
        <f ca="1">AVERAGE(K9:K32)</f>
        <v>0.27357446738876051</v>
      </c>
      <c r="K9" s="95">
        <f ca="1">(D9-C9)^2</f>
        <v>0.24506223823482604</v>
      </c>
      <c r="L9">
        <f ca="1">(E9-C9)^2</f>
        <v>2.8541098548021629E-2</v>
      </c>
      <c r="M9" s="96">
        <f t="shared" si="0"/>
        <v>6.0578410614197685E-2</v>
      </c>
    </row>
    <row r="10" spans="1:13" x14ac:dyDescent="0.25">
      <c r="A10" s="95">
        <v>9</v>
      </c>
      <c r="B10" s="20">
        <v>44935</v>
      </c>
      <c r="C10">
        <v>81.02402484458996</v>
      </c>
      <c r="D10">
        <f t="shared" ref="D10:D33" ca="1" si="2">AVERAGE(OFFSET(C9,0,0,-$I$2))</f>
        <v>80.469889747252708</v>
      </c>
      <c r="E10">
        <f t="shared" ref="E10:E33" ca="1" si="3">($I$4*C9)+((1-$I$4)*AVERAGE(OFFSET(C8,0,0,-$I$3)))</f>
        <v>80.759052668638972</v>
      </c>
      <c r="F10" s="96">
        <f t="shared" si="1"/>
        <v>80.721248031100416</v>
      </c>
      <c r="H10" s="89" t="s">
        <v>278</v>
      </c>
      <c r="I10" s="91">
        <f ca="1">AVERAGE(L9:L32)</f>
        <v>5.0274295537564399E-2</v>
      </c>
      <c r="K10" s="95">
        <f t="shared" ref="K10:K32" ca="1" si="4">(D10-C10)^2</f>
        <v>0.30706570610096534</v>
      </c>
      <c r="L10">
        <f t="shared" ref="L10:L32" ca="1" si="5">(E10-C10)^2</f>
        <v>7.0210254028200983E-2</v>
      </c>
      <c r="M10" s="96">
        <f t="shared" si="0"/>
        <v>9.1673798786882046E-2</v>
      </c>
    </row>
    <row r="11" spans="1:13" x14ac:dyDescent="0.25">
      <c r="A11" s="95">
        <v>10</v>
      </c>
      <c r="B11" s="20">
        <v>44936</v>
      </c>
      <c r="C11">
        <v>81.031381533659498</v>
      </c>
      <c r="D11">
        <f t="shared" ca="1" si="2"/>
        <v>80.608953691143682</v>
      </c>
      <c r="E11">
        <f t="shared" ca="1" si="3"/>
        <v>80.93416814238347</v>
      </c>
      <c r="F11" s="96">
        <f t="shared" si="1"/>
        <v>80.872636437845188</v>
      </c>
      <c r="H11" s="92" t="s">
        <v>279</v>
      </c>
      <c r="I11" s="91">
        <f>AVERAGE(M2:M32)</f>
        <v>6.9527336283543656E-2</v>
      </c>
      <c r="K11" s="95">
        <f t="shared" ca="1" si="4"/>
        <v>0.17844528213256713</v>
      </c>
      <c r="L11">
        <f t="shared" ca="1" si="5"/>
        <v>9.4504434433862056E-3</v>
      </c>
      <c r="M11" s="96">
        <f t="shared" si="0"/>
        <v>2.5200005445094729E-2</v>
      </c>
    </row>
    <row r="12" spans="1:13" x14ac:dyDescent="0.25">
      <c r="A12" s="95">
        <v>11</v>
      </c>
      <c r="B12" s="20">
        <v>44937</v>
      </c>
      <c r="C12">
        <v>81.014828983253039</v>
      </c>
      <c r="D12">
        <f t="shared" ca="1" si="2"/>
        <v>80.733247955703732</v>
      </c>
      <c r="E12">
        <f t="shared" ca="1" si="3"/>
        <v>81.027703189124736</v>
      </c>
      <c r="F12" s="96">
        <f t="shared" si="1"/>
        <v>80.952008985752343</v>
      </c>
      <c r="K12" s="95">
        <f t="shared" ca="1" si="4"/>
        <v>7.9287875075724046E-2</v>
      </c>
      <c r="L12">
        <f t="shared" ca="1" si="5"/>
        <v>1.6574517682682802E-4</v>
      </c>
      <c r="M12" s="96">
        <f t="shared" si="0"/>
        <v>3.9463520859875072E-3</v>
      </c>
    </row>
    <row r="13" spans="1:13" x14ac:dyDescent="0.25">
      <c r="A13" s="95">
        <v>12</v>
      </c>
      <c r="B13" s="20">
        <v>44938</v>
      </c>
      <c r="C13">
        <v>81.134900658423689</v>
      </c>
      <c r="D13">
        <f t="shared" ca="1" si="2"/>
        <v>80.82321726029393</v>
      </c>
      <c r="E13">
        <f t="shared" ca="1" si="3"/>
        <v>81.023105258456269</v>
      </c>
      <c r="F13" s="96">
        <f t="shared" si="1"/>
        <v>80.983418984502691</v>
      </c>
      <c r="K13" s="95">
        <f t="shared" ca="1" si="4"/>
        <v>9.7146540669713774E-2</v>
      </c>
      <c r="L13">
        <f t="shared" ca="1" si="5"/>
        <v>1.2498211453875398E-2</v>
      </c>
      <c r="M13" s="96">
        <f t="shared" si="0"/>
        <v>2.2946697533907458E-2</v>
      </c>
    </row>
    <row r="14" spans="1:13" x14ac:dyDescent="0.25">
      <c r="A14" s="95">
        <v>13</v>
      </c>
      <c r="B14" s="20">
        <v>44939</v>
      </c>
      <c r="C14">
        <v>81.239207999873898</v>
      </c>
      <c r="D14">
        <f t="shared" ca="1" si="2"/>
        <v>80.914312588721302</v>
      </c>
      <c r="E14">
        <f t="shared" ca="1" si="3"/>
        <v>81.074864820838371</v>
      </c>
      <c r="F14" s="96">
        <f t="shared" si="1"/>
        <v>81.059159821463197</v>
      </c>
      <c r="K14" s="95">
        <f t="shared" ca="1" si="4"/>
        <v>0.10555702818801448</v>
      </c>
      <c r="L14">
        <f t="shared" ca="1" si="5"/>
        <v>2.7008680495503128E-2</v>
      </c>
      <c r="M14" s="96">
        <f t="shared" si="0"/>
        <v>3.2417346549011489E-2</v>
      </c>
    </row>
    <row r="15" spans="1:13" x14ac:dyDescent="0.25">
      <c r="A15" s="95">
        <v>14</v>
      </c>
      <c r="B15" s="20">
        <v>44940</v>
      </c>
      <c r="C15">
        <v>81.245645102809746</v>
      </c>
      <c r="D15">
        <f t="shared" ca="1" si="2"/>
        <v>80.994635622439731</v>
      </c>
      <c r="E15">
        <f t="shared" ca="1" si="3"/>
        <v>81.187054329148793</v>
      </c>
      <c r="F15" s="96">
        <f t="shared" si="1"/>
        <v>81.14918391066854</v>
      </c>
      <c r="K15" s="95">
        <f t="shared" ca="1" si="4"/>
        <v>6.3005759235625236E-2</v>
      </c>
      <c r="L15">
        <f t="shared" ca="1" si="5"/>
        <v>3.4328787581889976E-3</v>
      </c>
      <c r="M15" s="96">
        <f t="shared" si="0"/>
        <v>9.3047615893026119E-3</v>
      </c>
    </row>
    <row r="16" spans="1:13" x14ac:dyDescent="0.25">
      <c r="A16" s="95">
        <v>15</v>
      </c>
      <c r="B16" s="20">
        <v>44941</v>
      </c>
      <c r="C16">
        <v>81.496823486755346</v>
      </c>
      <c r="D16">
        <f t="shared" ca="1" si="2"/>
        <v>81.076328651826685</v>
      </c>
      <c r="E16">
        <f t="shared" ca="1" si="3"/>
        <v>81.242426551341822</v>
      </c>
      <c r="F16" s="96">
        <f t="shared" si="1"/>
        <v>81.197414506739136</v>
      </c>
      <c r="K16" s="95">
        <f t="shared" ca="1" si="4"/>
        <v>0.17681590620168189</v>
      </c>
      <c r="L16">
        <f t="shared" ca="1" si="5"/>
        <v>6.4717800747792834E-2</v>
      </c>
      <c r="M16" s="96">
        <f t="shared" si="0"/>
        <v>8.9645737314347287E-2</v>
      </c>
    </row>
    <row r="17" spans="1:13" x14ac:dyDescent="0.25">
      <c r="A17" s="95">
        <v>16</v>
      </c>
      <c r="B17" s="20">
        <v>44942</v>
      </c>
      <c r="C17">
        <v>81.756934993142522</v>
      </c>
      <c r="D17">
        <f t="shared" ca="1" si="2"/>
        <v>81.169544658480746</v>
      </c>
      <c r="E17">
        <f t="shared" ca="1" si="3"/>
        <v>81.371234294782539</v>
      </c>
      <c r="F17" s="96">
        <f t="shared" si="1"/>
        <v>81.347118996747241</v>
      </c>
      <c r="K17" s="95">
        <f t="shared" ca="1" si="4"/>
        <v>0.34502740525407388</v>
      </c>
      <c r="L17">
        <f t="shared" ca="1" si="5"/>
        <v>0.14876502871537867</v>
      </c>
      <c r="M17" s="96">
        <f t="shared" si="0"/>
        <v>0.16794915090145696</v>
      </c>
    </row>
    <row r="18" spans="1:13" x14ac:dyDescent="0.25">
      <c r="A18" s="95">
        <v>17</v>
      </c>
      <c r="B18" s="20">
        <v>44943</v>
      </c>
      <c r="C18">
        <v>81.95963805089778</v>
      </c>
      <c r="D18">
        <f t="shared" ca="1" si="2"/>
        <v>81.274246108273957</v>
      </c>
      <c r="E18">
        <f t="shared" ca="1" si="3"/>
        <v>81.626879239948934</v>
      </c>
      <c r="F18" s="96">
        <f t="shared" si="1"/>
        <v>81.552026994944882</v>
      </c>
      <c r="K18" s="95">
        <f t="shared" ca="1" si="4"/>
        <v>0.46976211501365861</v>
      </c>
      <c r="L18">
        <f t="shared" ca="1" si="5"/>
        <v>0.11072842626408981</v>
      </c>
      <c r="M18" s="96">
        <f t="shared" si="0"/>
        <v>0.16614677293503693</v>
      </c>
    </row>
    <row r="19" spans="1:13" x14ac:dyDescent="0.25">
      <c r="A19" s="95">
        <v>18</v>
      </c>
      <c r="B19" s="20">
        <v>44944</v>
      </c>
      <c r="C19">
        <v>81.886465268545422</v>
      </c>
      <c r="D19">
        <f t="shared" ca="1" si="2"/>
        <v>81.406854182165148</v>
      </c>
      <c r="E19">
        <f t="shared" ca="1" si="3"/>
        <v>81.858286522020151</v>
      </c>
      <c r="F19" s="96">
        <f t="shared" si="1"/>
        <v>81.755832522921338</v>
      </c>
      <c r="K19" s="95">
        <f t="shared" ca="1" si="4"/>
        <v>0.23002679417886648</v>
      </c>
      <c r="L19">
        <f t="shared" ca="1" si="5"/>
        <v>7.9404175573544579E-4</v>
      </c>
      <c r="M19" s="96">
        <f t="shared" si="0"/>
        <v>1.7064914229286552E-2</v>
      </c>
    </row>
    <row r="20" spans="1:13" x14ac:dyDescent="0.25">
      <c r="A20" s="95">
        <v>19</v>
      </c>
      <c r="B20" s="20">
        <v>44945</v>
      </c>
      <c r="C20">
        <v>81.974220059589186</v>
      </c>
      <c r="D20">
        <f t="shared" ca="1" si="2"/>
        <v>81.531373651492615</v>
      </c>
      <c r="E20">
        <f t="shared" ca="1" si="3"/>
        <v>81.923051659721608</v>
      </c>
      <c r="F20" s="96">
        <f t="shared" si="1"/>
        <v>81.821148895733387</v>
      </c>
      <c r="K20" s="95">
        <f t="shared" ca="1" si="4"/>
        <v>0.19611294116403474</v>
      </c>
      <c r="L20">
        <f t="shared" ca="1" si="5"/>
        <v>2.6182051450083376E-3</v>
      </c>
      <c r="M20" s="96">
        <f t="shared" si="0"/>
        <v>2.3430781204168832E-2</v>
      </c>
    </row>
    <row r="21" spans="1:13" x14ac:dyDescent="0.25">
      <c r="A21" s="95">
        <v>20</v>
      </c>
      <c r="B21" s="20">
        <v>44946</v>
      </c>
      <c r="C21">
        <v>81.99523917121644</v>
      </c>
      <c r="D21">
        <f t="shared" ca="1" si="2"/>
        <v>81.651276423087694</v>
      </c>
      <c r="E21">
        <f t="shared" ca="1" si="3"/>
        <v>81.930342664067297</v>
      </c>
      <c r="F21" s="96">
        <f t="shared" si="1"/>
        <v>81.897684477661286</v>
      </c>
      <c r="K21" s="95">
        <f t="shared" ca="1" si="4"/>
        <v>0.11831037210027912</v>
      </c>
      <c r="L21">
        <f t="shared" ca="1" si="5"/>
        <v>4.2115566401587931E-3</v>
      </c>
      <c r="M21" s="96">
        <f t="shared" si="0"/>
        <v>9.516918234639897E-3</v>
      </c>
    </row>
    <row r="22" spans="1:13" x14ac:dyDescent="0.25">
      <c r="A22" s="95">
        <v>21</v>
      </c>
      <c r="B22" s="20">
        <v>44947</v>
      </c>
      <c r="C22">
        <v>82.084044917841567</v>
      </c>
      <c r="D22">
        <f t="shared" ca="1" si="2"/>
        <v>81.759280876136629</v>
      </c>
      <c r="E22">
        <f t="shared" ca="1" si="3"/>
        <v>81.984729615402813</v>
      </c>
      <c r="F22" s="96">
        <f t="shared" si="1"/>
        <v>81.94646182443887</v>
      </c>
      <c r="K22" s="95">
        <f t="shared" ca="1" si="4"/>
        <v>0.10547168278452686</v>
      </c>
      <c r="L22">
        <f t="shared" ca="1" si="5"/>
        <v>9.8635292985011485E-3</v>
      </c>
      <c r="M22" s="96">
        <f t="shared" si="0"/>
        <v>1.8929107590255102E-2</v>
      </c>
    </row>
    <row r="23" spans="1:13" x14ac:dyDescent="0.25">
      <c r="A23" s="95">
        <v>22</v>
      </c>
      <c r="B23" s="20">
        <v>44948</v>
      </c>
      <c r="C23">
        <v>82.390529839256359</v>
      </c>
      <c r="D23">
        <f t="shared" ca="1" si="2"/>
        <v>81.879052278284036</v>
      </c>
      <c r="E23">
        <f t="shared" ca="1" si="3"/>
        <v>82.039642044529003</v>
      </c>
      <c r="F23" s="96">
        <f t="shared" si="1"/>
        <v>82.015253371140219</v>
      </c>
      <c r="K23" s="95">
        <f t="shared" ca="1" si="4"/>
        <v>0.26160929537819727</v>
      </c>
      <c r="L23">
        <f t="shared" ca="1" si="5"/>
        <v>0.12312224448862719</v>
      </c>
      <c r="M23" s="96">
        <f t="shared" si="0"/>
        <v>0.14083242752172492</v>
      </c>
    </row>
    <row r="24" spans="1:13" x14ac:dyDescent="0.25">
      <c r="A24" s="95">
        <v>23</v>
      </c>
      <c r="B24" s="20">
        <v>44949</v>
      </c>
      <c r="C24">
        <v>82.414570448180029</v>
      </c>
      <c r="D24">
        <f t="shared" ca="1" si="2"/>
        <v>82.006724614355605</v>
      </c>
      <c r="E24">
        <f t="shared" ca="1" si="3"/>
        <v>82.237287378548956</v>
      </c>
      <c r="F24" s="96">
        <f t="shared" si="1"/>
        <v>82.202891605198289</v>
      </c>
      <c r="K24" s="95">
        <f t="shared" ca="1" si="4"/>
        <v>0.1663382241679402</v>
      </c>
      <c r="L24">
        <f t="shared" ca="1" si="5"/>
        <v>3.1429286777816028E-2</v>
      </c>
      <c r="M24" s="96">
        <f t="shared" si="0"/>
        <v>4.4807932566088324E-2</v>
      </c>
    </row>
    <row r="25" spans="1:13" x14ac:dyDescent="0.25">
      <c r="A25" s="95">
        <v>24</v>
      </c>
      <c r="B25" s="20">
        <v>44950</v>
      </c>
      <c r="C25">
        <v>82.638029878667197</v>
      </c>
      <c r="D25">
        <f t="shared" ca="1" si="2"/>
        <v>82.100672536503822</v>
      </c>
      <c r="E25">
        <f t="shared" ca="1" si="3"/>
        <v>82.402550143718202</v>
      </c>
      <c r="F25" s="96">
        <f t="shared" si="1"/>
        <v>82.308731026689159</v>
      </c>
      <c r="K25" s="95">
        <f t="shared" ca="1" si="4"/>
        <v>0.28875291317688651</v>
      </c>
      <c r="L25">
        <f t="shared" ca="1" si="5"/>
        <v>5.5450705571649245E-2</v>
      </c>
      <c r="M25" s="96">
        <f t="shared" si="0"/>
        <v>0.10843773391405377</v>
      </c>
    </row>
    <row r="26" spans="1:13" x14ac:dyDescent="0.25">
      <c r="A26" s="95">
        <v>25</v>
      </c>
      <c r="B26" s="20">
        <v>44951</v>
      </c>
      <c r="C26">
        <v>82.766771937384078</v>
      </c>
      <c r="D26">
        <f t="shared" ca="1" si="2"/>
        <v>82.197585654756608</v>
      </c>
      <c r="E26">
        <f t="shared" ca="1" si="3"/>
        <v>82.526300163423613</v>
      </c>
      <c r="F26" s="96">
        <f t="shared" si="1"/>
        <v>82.473380452678185</v>
      </c>
      <c r="K26" s="95">
        <f t="shared" ca="1" si="4"/>
        <v>0.32397302433127823</v>
      </c>
      <c r="L26">
        <f t="shared" ca="1" si="5"/>
        <v>5.7826674071692938E-2</v>
      </c>
      <c r="M26" s="96">
        <f t="shared" si="0"/>
        <v>8.6078563297928207E-2</v>
      </c>
    </row>
    <row r="27" spans="1:13" x14ac:dyDescent="0.25">
      <c r="A27" s="95">
        <v>26</v>
      </c>
      <c r="B27" s="20">
        <v>44952</v>
      </c>
      <c r="C27">
        <v>82.861620678602037</v>
      </c>
      <c r="D27">
        <f t="shared" ca="1" si="2"/>
        <v>82.323343750304971</v>
      </c>
      <c r="E27">
        <f t="shared" ca="1" si="3"/>
        <v>82.702400908025638</v>
      </c>
      <c r="F27" s="96">
        <f t="shared" si="1"/>
        <v>82.620076195031132</v>
      </c>
      <c r="K27" s="95">
        <f t="shared" ca="1" si="4"/>
        <v>0.28974205153692434</v>
      </c>
      <c r="L27">
        <f t="shared" ca="1" si="5"/>
        <v>2.5350935342401244E-2</v>
      </c>
      <c r="M27" s="96">
        <f t="shared" si="0"/>
        <v>5.8343737543535341E-2</v>
      </c>
    </row>
    <row r="28" spans="1:13" x14ac:dyDescent="0.25">
      <c r="A28" s="95">
        <v>27</v>
      </c>
      <c r="B28" s="20">
        <v>44953</v>
      </c>
      <c r="C28">
        <v>83.145641424465211</v>
      </c>
      <c r="D28">
        <f t="shared" ca="1" si="2"/>
        <v>82.450115267306828</v>
      </c>
      <c r="E28">
        <f t="shared" ca="1" si="3"/>
        <v>82.814196307993058</v>
      </c>
      <c r="F28" s="96">
        <f t="shared" si="1"/>
        <v>82.740848436816577</v>
      </c>
      <c r="K28" s="95">
        <f t="shared" ca="1" si="4"/>
        <v>0.48375663529150809</v>
      </c>
      <c r="L28">
        <f t="shared" ca="1" si="5"/>
        <v>0.10985586523323923</v>
      </c>
      <c r="M28" s="96">
        <f t="shared" si="0"/>
        <v>0.16385736284950683</v>
      </c>
    </row>
    <row r="29" spans="1:13" x14ac:dyDescent="0.25">
      <c r="A29" s="95">
        <v>28</v>
      </c>
      <c r="B29" s="20">
        <v>44954</v>
      </c>
      <c r="C29">
        <v>83.285287147338735</v>
      </c>
      <c r="D29">
        <f t="shared" ca="1" si="2"/>
        <v>82.614458446342354</v>
      </c>
      <c r="E29">
        <f t="shared" ca="1" si="3"/>
        <v>83.003631051533631</v>
      </c>
      <c r="F29" s="96">
        <f t="shared" si="1"/>
        <v>82.943244930640901</v>
      </c>
      <c r="K29" s="95">
        <f t="shared" ca="1" si="4"/>
        <v>0.45001114608049214</v>
      </c>
      <c r="L29">
        <f t="shared" ca="1" si="5"/>
        <v>7.9330156304174032E-2</v>
      </c>
      <c r="M29" s="96">
        <f t="shared" si="0"/>
        <v>0.11699287800356808</v>
      </c>
    </row>
    <row r="30" spans="1:13" x14ac:dyDescent="0.25">
      <c r="A30" s="95">
        <v>29</v>
      </c>
      <c r="B30" s="20">
        <v>44955</v>
      </c>
      <c r="C30">
        <v>83.547631934336309</v>
      </c>
      <c r="D30">
        <f t="shared" ca="1" si="2"/>
        <v>82.78606447912766</v>
      </c>
      <c r="E30">
        <f t="shared" ca="1" si="3"/>
        <v>83.215464285901973</v>
      </c>
      <c r="F30" s="96">
        <f t="shared" si="1"/>
        <v>83.114266038989825</v>
      </c>
      <c r="K30" s="95">
        <f t="shared" ca="1" si="4"/>
        <v>0.57998498883297744</v>
      </c>
      <c r="L30">
        <f t="shared" ca="1" si="5"/>
        <v>0.11033534666639641</v>
      </c>
      <c r="M30" s="96">
        <f t="shared" si="0"/>
        <v>0.1878059992494592</v>
      </c>
    </row>
    <row r="31" spans="1:13" x14ac:dyDescent="0.25">
      <c r="A31" s="95">
        <v>30</v>
      </c>
      <c r="B31" s="20">
        <v>44956</v>
      </c>
      <c r="C31">
        <v>83.749546775405548</v>
      </c>
      <c r="D31">
        <f t="shared" ca="1" si="2"/>
        <v>82.951364778424804</v>
      </c>
      <c r="E31">
        <f t="shared" ca="1" si="3"/>
        <v>83.416459540837522</v>
      </c>
      <c r="F31" s="96">
        <f t="shared" si="1"/>
        <v>83.33094898666306</v>
      </c>
      <c r="K31" s="95">
        <f t="shared" ca="1" si="4"/>
        <v>0.63709450030416948</v>
      </c>
      <c r="L31">
        <f t="shared" ca="1" si="5"/>
        <v>0.11094710583217533</v>
      </c>
      <c r="M31" s="96">
        <f t="shared" si="0"/>
        <v>0.17522410874010089</v>
      </c>
    </row>
    <row r="32" spans="1:13" x14ac:dyDescent="0.25">
      <c r="A32" s="97">
        <v>31</v>
      </c>
      <c r="B32" s="98">
        <v>44957</v>
      </c>
      <c r="C32" s="99">
        <v>83.748233080928841</v>
      </c>
      <c r="D32" s="99">
        <f t="shared" ca="1" si="2"/>
        <v>83.142075682314157</v>
      </c>
      <c r="E32" s="99">
        <f t="shared" ca="1" si="3"/>
        <v>83.648589354870921</v>
      </c>
      <c r="F32" s="100">
        <f t="shared" si="1"/>
        <v>83.540247881034304</v>
      </c>
      <c r="K32" s="97">
        <f t="shared" ca="1" si="4"/>
        <v>0.3674267918953209</v>
      </c>
      <c r="L32" s="99">
        <f t="shared" ca="1" si="5"/>
        <v>9.9288721427057917E-3</v>
      </c>
      <c r="M32" s="100">
        <f t="shared" si="0"/>
        <v>4.3257843375170607E-2</v>
      </c>
    </row>
    <row r="33" spans="1:6" x14ac:dyDescent="0.25">
      <c r="A33" s="102">
        <v>32</v>
      </c>
      <c r="B33" s="103">
        <v>44958</v>
      </c>
      <c r="C33" s="104"/>
      <c r="D33" s="104">
        <f t="shared" ca="1" si="2"/>
        <v>83.300676139780109</v>
      </c>
      <c r="E33" s="104">
        <f t="shared" ca="1" si="3"/>
        <v>83.748889928167188</v>
      </c>
      <c r="F33" s="105">
        <f t="shared" si="1"/>
        <v>83.64424048098158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72333-D16A-4B72-8935-3139FDE4FB17}">
  <sheetPr codeName="Sheet11"/>
  <dimension ref="A3:O35"/>
  <sheetViews>
    <sheetView zoomScale="60" zoomScaleNormal="60" workbookViewId="0">
      <selection activeCell="I88" sqref="I88"/>
    </sheetView>
  </sheetViews>
  <sheetFormatPr defaultRowHeight="15" x14ac:dyDescent="0.25"/>
  <cols>
    <col min="2" max="2" width="10.5703125" bestFit="1" customWidth="1"/>
    <col min="3" max="3" width="13.5703125" customWidth="1"/>
    <col min="4" max="4" width="38.28515625" bestFit="1" customWidth="1"/>
    <col min="5" max="5" width="47.42578125" bestFit="1" customWidth="1"/>
    <col min="6" max="6" width="34.5703125" bestFit="1" customWidth="1"/>
    <col min="8" max="8" width="28.42578125" customWidth="1"/>
    <col min="9" max="9" width="7.85546875" customWidth="1"/>
    <col min="10" max="10" width="11.7109375" bestFit="1" customWidth="1"/>
    <col min="11" max="11" width="7.85546875" customWidth="1"/>
    <col min="13" max="13" width="17" customWidth="1"/>
    <col min="14" max="14" width="26.140625" bestFit="1" customWidth="1"/>
    <col min="15" max="15" width="11.42578125" bestFit="1" customWidth="1"/>
  </cols>
  <sheetData>
    <row r="3" spans="1:15" x14ac:dyDescent="0.25">
      <c r="A3" s="93" t="s">
        <v>204</v>
      </c>
      <c r="B3" s="93" t="s">
        <v>131</v>
      </c>
      <c r="C3" s="94" t="s">
        <v>200</v>
      </c>
      <c r="D3" s="84" t="s">
        <v>266</v>
      </c>
      <c r="E3" s="85" t="s">
        <v>267</v>
      </c>
      <c r="F3" s="86" t="s">
        <v>272</v>
      </c>
      <c r="H3" s="107" t="s">
        <v>281</v>
      </c>
      <c r="M3" s="84" t="s">
        <v>269</v>
      </c>
      <c r="N3" s="85" t="s">
        <v>270</v>
      </c>
      <c r="O3" s="86" t="s">
        <v>271</v>
      </c>
    </row>
    <row r="4" spans="1:15" x14ac:dyDescent="0.25">
      <c r="A4" s="95">
        <v>1</v>
      </c>
      <c r="B4" s="37">
        <v>44927</v>
      </c>
      <c r="C4">
        <v>80</v>
      </c>
      <c r="D4" s="87"/>
      <c r="E4" s="87"/>
      <c r="F4" s="96">
        <v>80</v>
      </c>
      <c r="H4" s="88" t="s">
        <v>273</v>
      </c>
      <c r="I4" s="91">
        <v>1</v>
      </c>
      <c r="J4" s="108" t="s">
        <v>282</v>
      </c>
      <c r="M4" s="101"/>
      <c r="N4" s="101"/>
      <c r="O4" s="96">
        <f>(F4-C4)^2</f>
        <v>0</v>
      </c>
    </row>
    <row r="5" spans="1:15" x14ac:dyDescent="0.25">
      <c r="A5" s="95">
        <v>2</v>
      </c>
      <c r="B5" s="38">
        <v>44928</v>
      </c>
      <c r="C5">
        <v>80.050577237353068</v>
      </c>
      <c r="D5" s="87"/>
      <c r="E5" s="87"/>
      <c r="F5" s="96">
        <f>F4+($I$8*(C4-F4))</f>
        <v>80</v>
      </c>
      <c r="H5" s="89" t="s">
        <v>274</v>
      </c>
      <c r="I5" s="91">
        <v>2</v>
      </c>
      <c r="J5" s="109" t="s">
        <v>282</v>
      </c>
      <c r="M5" s="101"/>
      <c r="N5" s="101"/>
      <c r="O5" s="96">
        <f t="shared" ref="O5:O34" si="0">(F5-C5)^2</f>
        <v>2.5580569382685279E-3</v>
      </c>
    </row>
    <row r="6" spans="1:15" x14ac:dyDescent="0.25">
      <c r="A6" s="95">
        <v>3</v>
      </c>
      <c r="B6" s="37">
        <v>44929</v>
      </c>
      <c r="C6">
        <v>80.161321681739125</v>
      </c>
      <c r="D6" s="87"/>
      <c r="E6" s="87"/>
      <c r="F6" s="96">
        <f t="shared" ref="F6:F35" si="1">F5+($I$8*(C5-F5))</f>
        <v>80.050577237353068</v>
      </c>
      <c r="H6" s="89" t="s">
        <v>275</v>
      </c>
      <c r="I6" s="91">
        <v>1</v>
      </c>
      <c r="J6" s="110" t="s">
        <v>282</v>
      </c>
      <c r="M6" s="101"/>
      <c r="N6" s="101"/>
      <c r="O6" s="96">
        <f t="shared" si="0"/>
        <v>1.2264331962376526E-2</v>
      </c>
    </row>
    <row r="7" spans="1:15" x14ac:dyDescent="0.25">
      <c r="A7" s="95">
        <v>4</v>
      </c>
      <c r="B7" s="38">
        <v>44930</v>
      </c>
      <c r="C7">
        <v>80.385043851121637</v>
      </c>
      <c r="D7" s="87"/>
      <c r="E7" s="87"/>
      <c r="F7" s="96">
        <f t="shared" si="1"/>
        <v>80.161321681739125</v>
      </c>
      <c r="H7" s="90" t="s">
        <v>268</v>
      </c>
      <c r="I7" s="91">
        <v>7</v>
      </c>
      <c r="M7" s="101"/>
      <c r="N7" s="101"/>
      <c r="O7" s="96">
        <f t="shared" si="0"/>
        <v>5.0051609073217387E-2</v>
      </c>
    </row>
    <row r="8" spans="1:15" x14ac:dyDescent="0.25">
      <c r="A8" s="95">
        <v>5</v>
      </c>
      <c r="B8" s="20">
        <v>44931</v>
      </c>
      <c r="C8">
        <v>80.497233359432073</v>
      </c>
      <c r="D8" s="87"/>
      <c r="E8" s="87"/>
      <c r="F8" s="96">
        <f t="shared" si="1"/>
        <v>80.385043851121637</v>
      </c>
      <c r="H8" s="92" t="s">
        <v>276</v>
      </c>
      <c r="I8" s="91">
        <v>1</v>
      </c>
      <c r="J8" s="107" t="s">
        <v>282</v>
      </c>
      <c r="M8" s="101"/>
      <c r="N8" s="101"/>
      <c r="O8" s="96">
        <f t="shared" si="0"/>
        <v>1.2586485774937451E-2</v>
      </c>
    </row>
    <row r="9" spans="1:15" x14ac:dyDescent="0.25">
      <c r="A9" s="95">
        <v>6</v>
      </c>
      <c r="B9" s="20">
        <v>44932</v>
      </c>
      <c r="C9">
        <v>80.676946763845038</v>
      </c>
      <c r="D9" s="87"/>
      <c r="E9" s="87"/>
      <c r="F9" s="96">
        <f t="shared" si="1"/>
        <v>80.497233359432073</v>
      </c>
      <c r="M9" s="101"/>
      <c r="N9" s="101"/>
      <c r="O9" s="96">
        <f t="shared" si="0"/>
        <v>3.2296907725697876E-2</v>
      </c>
    </row>
    <row r="10" spans="1:15" x14ac:dyDescent="0.25">
      <c r="A10" s="95">
        <v>7</v>
      </c>
      <c r="B10" s="20">
        <v>44933</v>
      </c>
      <c r="C10">
        <v>80.67379389710095</v>
      </c>
      <c r="D10" s="87"/>
      <c r="E10" s="87"/>
      <c r="F10" s="96">
        <f t="shared" si="1"/>
        <v>80.676946763845038</v>
      </c>
      <c r="H10" s="106" t="s">
        <v>280</v>
      </c>
      <c r="M10" s="101"/>
      <c r="N10" s="101"/>
      <c r="O10" s="96">
        <f t="shared" si="0"/>
        <v>9.9405687059767015E-6</v>
      </c>
    </row>
    <row r="11" spans="1:15" x14ac:dyDescent="0.25">
      <c r="A11" s="95">
        <v>8</v>
      </c>
      <c r="B11" s="20">
        <v>44934</v>
      </c>
      <c r="C11">
        <v>80.844311440176995</v>
      </c>
      <c r="D11">
        <f ca="1">AVERAGE(OFFSET(C10,0,0,-$I$4))</f>
        <v>80.67379389710095</v>
      </c>
      <c r="E11">
        <f ca="1">($I$6*C10)+((1-$I$6)*AVERAGE(OFFSET(C9,0,0,-$I$5)))</f>
        <v>80.67379389710095</v>
      </c>
      <c r="F11" s="96">
        <f t="shared" si="1"/>
        <v>80.67379389710095</v>
      </c>
      <c r="H11" s="88" t="s">
        <v>277</v>
      </c>
      <c r="I11" s="91">
        <f ca="1">AVERAGE(M11:M34)</f>
        <v>2.7501714438678149E-2</v>
      </c>
      <c r="M11" s="95">
        <f ca="1">(D11-C11)^2</f>
        <v>2.9076232496690804E-2</v>
      </c>
      <c r="N11">
        <f ca="1">(E11-C11)^2</f>
        <v>2.9076232496690804E-2</v>
      </c>
      <c r="O11" s="96">
        <f t="shared" si="0"/>
        <v>2.9076232496690804E-2</v>
      </c>
    </row>
    <row r="12" spans="1:15" x14ac:dyDescent="0.25">
      <c r="A12" s="95">
        <v>9</v>
      </c>
      <c r="B12" s="20">
        <v>44935</v>
      </c>
      <c r="C12">
        <v>81.02402484458996</v>
      </c>
      <c r="D12">
        <f t="shared" ref="D12:D35" ca="1" si="2">AVERAGE(OFFSET(C11,0,0,-$I$4))</f>
        <v>80.844311440176995</v>
      </c>
      <c r="E12">
        <f t="shared" ref="E12:E35" ca="1" si="3">($I$6*C11)+((1-$I$6)*AVERAGE(OFFSET(C10,0,0,-$I$5)))</f>
        <v>80.844311440176995</v>
      </c>
      <c r="F12" s="96">
        <f t="shared" si="1"/>
        <v>80.844311440176995</v>
      </c>
      <c r="H12" s="89" t="s">
        <v>278</v>
      </c>
      <c r="I12" s="91">
        <f ca="1">AVERAGE(N11:N34)</f>
        <v>2.7501714438678149E-2</v>
      </c>
      <c r="M12" s="95">
        <f t="shared" ref="M12:M34" ca="1" si="4">(D12-C12)^2</f>
        <v>3.2296907725697876E-2</v>
      </c>
      <c r="N12">
        <f t="shared" ref="N12:N34" ca="1" si="5">(E12-C12)^2</f>
        <v>3.2296907725697876E-2</v>
      </c>
      <c r="O12" s="96">
        <f t="shared" si="0"/>
        <v>3.2296907725697876E-2</v>
      </c>
    </row>
    <row r="13" spans="1:15" x14ac:dyDescent="0.25">
      <c r="A13" s="95">
        <v>10</v>
      </c>
      <c r="B13" s="20">
        <v>44936</v>
      </c>
      <c r="C13">
        <v>81.031381533659498</v>
      </c>
      <c r="D13">
        <f t="shared" ca="1" si="2"/>
        <v>81.02402484458996</v>
      </c>
      <c r="E13">
        <f t="shared" ca="1" si="3"/>
        <v>81.02402484458996</v>
      </c>
      <c r="F13" s="96">
        <f t="shared" si="1"/>
        <v>81.02402484458996</v>
      </c>
      <c r="H13" s="92" t="s">
        <v>279</v>
      </c>
      <c r="I13" s="91">
        <f>AVERAGE(O4:O34)</f>
        <v>2.4832531566821917E-2</v>
      </c>
      <c r="M13" s="95">
        <f t="shared" ca="1" si="4"/>
        <v>5.4120874065873157E-5</v>
      </c>
      <c r="N13">
        <f t="shared" ca="1" si="5"/>
        <v>5.4120874065873157E-5</v>
      </c>
      <c r="O13" s="96">
        <f t="shared" si="0"/>
        <v>5.4120874065873157E-5</v>
      </c>
    </row>
    <row r="14" spans="1:15" x14ac:dyDescent="0.25">
      <c r="A14" s="95">
        <v>11</v>
      </c>
      <c r="B14" s="20">
        <v>44937</v>
      </c>
      <c r="C14">
        <v>81.014828983253039</v>
      </c>
      <c r="D14">
        <f t="shared" ca="1" si="2"/>
        <v>81.031381533659498</v>
      </c>
      <c r="E14">
        <f t="shared" ca="1" si="3"/>
        <v>81.031381533659498</v>
      </c>
      <c r="F14" s="96">
        <f t="shared" si="1"/>
        <v>81.031381533659498</v>
      </c>
      <c r="M14" s="95">
        <f t="shared" ca="1" si="4"/>
        <v>2.7398692495836526E-4</v>
      </c>
      <c r="N14">
        <f t="shared" ca="1" si="5"/>
        <v>2.7398692495836526E-4</v>
      </c>
      <c r="O14" s="96">
        <f t="shared" si="0"/>
        <v>2.7398692495836526E-4</v>
      </c>
    </row>
    <row r="15" spans="1:15" x14ac:dyDescent="0.25">
      <c r="A15" s="95">
        <v>12</v>
      </c>
      <c r="B15" s="20">
        <v>44938</v>
      </c>
      <c r="C15">
        <v>81.134900658423689</v>
      </c>
      <c r="D15">
        <f t="shared" ca="1" si="2"/>
        <v>81.014828983253039</v>
      </c>
      <c r="E15">
        <f t="shared" ca="1" si="3"/>
        <v>81.014828983253039</v>
      </c>
      <c r="F15" s="96">
        <f t="shared" si="1"/>
        <v>81.014828983253039</v>
      </c>
      <c r="M15" s="95">
        <f t="shared" ca="1" si="4"/>
        <v>1.441720717828595E-2</v>
      </c>
      <c r="N15">
        <f t="shared" ca="1" si="5"/>
        <v>1.441720717828595E-2</v>
      </c>
      <c r="O15" s="96">
        <f t="shared" si="0"/>
        <v>1.441720717828595E-2</v>
      </c>
    </row>
    <row r="16" spans="1:15" x14ac:dyDescent="0.25">
      <c r="A16" s="95">
        <v>13</v>
      </c>
      <c r="B16" s="20">
        <v>44939</v>
      </c>
      <c r="C16">
        <v>81.239207999873898</v>
      </c>
      <c r="D16">
        <f t="shared" ca="1" si="2"/>
        <v>81.134900658423689</v>
      </c>
      <c r="E16">
        <f t="shared" ca="1" si="3"/>
        <v>81.134900658423689</v>
      </c>
      <c r="F16" s="96">
        <f t="shared" si="1"/>
        <v>81.134900658423689</v>
      </c>
      <c r="M16" s="95">
        <f t="shared" ca="1" si="4"/>
        <v>1.0880021480410472E-2</v>
      </c>
      <c r="N16">
        <f t="shared" ca="1" si="5"/>
        <v>1.0880021480410472E-2</v>
      </c>
      <c r="O16" s="96">
        <f t="shared" si="0"/>
        <v>1.0880021480410472E-2</v>
      </c>
    </row>
    <row r="17" spans="1:15" x14ac:dyDescent="0.25">
      <c r="A17" s="95">
        <v>14</v>
      </c>
      <c r="B17" s="20">
        <v>44940</v>
      </c>
      <c r="C17">
        <v>81.245645102809746</v>
      </c>
      <c r="D17">
        <f t="shared" ca="1" si="2"/>
        <v>81.239207999873898</v>
      </c>
      <c r="E17">
        <f t="shared" ca="1" si="3"/>
        <v>81.239207999873898</v>
      </c>
      <c r="F17" s="96">
        <f t="shared" si="1"/>
        <v>81.239207999873898</v>
      </c>
      <c r="M17" s="95">
        <f t="shared" ca="1" si="4"/>
        <v>4.1436294206707005E-5</v>
      </c>
      <c r="N17">
        <f t="shared" ca="1" si="5"/>
        <v>4.1436294206707005E-5</v>
      </c>
      <c r="O17" s="96">
        <f t="shared" si="0"/>
        <v>4.1436294206707005E-5</v>
      </c>
    </row>
    <row r="18" spans="1:15" x14ac:dyDescent="0.25">
      <c r="A18" s="95">
        <v>15</v>
      </c>
      <c r="B18" s="20">
        <v>44941</v>
      </c>
      <c r="C18">
        <v>81.496823486755346</v>
      </c>
      <c r="D18">
        <f t="shared" ca="1" si="2"/>
        <v>81.245645102809746</v>
      </c>
      <c r="E18">
        <f t="shared" ca="1" si="3"/>
        <v>81.245645102809746</v>
      </c>
      <c r="F18" s="96">
        <f t="shared" si="1"/>
        <v>81.245645102809746</v>
      </c>
      <c r="M18" s="95">
        <f t="shared" ca="1" si="4"/>
        <v>6.3090580561523293E-2</v>
      </c>
      <c r="N18">
        <f t="shared" ca="1" si="5"/>
        <v>6.3090580561523293E-2</v>
      </c>
      <c r="O18" s="96">
        <f t="shared" si="0"/>
        <v>6.3090580561523293E-2</v>
      </c>
    </row>
    <row r="19" spans="1:15" x14ac:dyDescent="0.25">
      <c r="A19" s="95">
        <v>16</v>
      </c>
      <c r="B19" s="20">
        <v>44942</v>
      </c>
      <c r="C19">
        <v>81.756934993142522</v>
      </c>
      <c r="D19">
        <f t="shared" ca="1" si="2"/>
        <v>81.496823486755346</v>
      </c>
      <c r="E19">
        <f t="shared" ca="1" si="3"/>
        <v>81.496823486755346</v>
      </c>
      <c r="F19" s="96">
        <f t="shared" si="1"/>
        <v>81.496823486755346</v>
      </c>
      <c r="M19" s="95">
        <f t="shared" ca="1" si="4"/>
        <v>6.7657995755005876E-2</v>
      </c>
      <c r="N19">
        <f t="shared" ca="1" si="5"/>
        <v>6.7657995755005876E-2</v>
      </c>
      <c r="O19" s="96">
        <f t="shared" si="0"/>
        <v>6.7657995755005876E-2</v>
      </c>
    </row>
    <row r="20" spans="1:15" x14ac:dyDescent="0.25">
      <c r="A20" s="95">
        <v>17</v>
      </c>
      <c r="B20" s="20">
        <v>44943</v>
      </c>
      <c r="C20">
        <v>81.95963805089778</v>
      </c>
      <c r="D20">
        <f t="shared" ca="1" si="2"/>
        <v>81.756934993142522</v>
      </c>
      <c r="E20">
        <f t="shared" ca="1" si="3"/>
        <v>81.756934993142522</v>
      </c>
      <c r="F20" s="96">
        <f t="shared" si="1"/>
        <v>81.756934993142522</v>
      </c>
      <c r="M20" s="95">
        <f t="shared" ca="1" si="4"/>
        <v>4.1088529623331455E-2</v>
      </c>
      <c r="N20">
        <f t="shared" ca="1" si="5"/>
        <v>4.1088529623331455E-2</v>
      </c>
      <c r="O20" s="96">
        <f t="shared" si="0"/>
        <v>4.1088529623331455E-2</v>
      </c>
    </row>
    <row r="21" spans="1:15" x14ac:dyDescent="0.25">
      <c r="A21" s="95">
        <v>18</v>
      </c>
      <c r="B21" s="20">
        <v>44944</v>
      </c>
      <c r="C21">
        <v>81.886465268545422</v>
      </c>
      <c r="D21">
        <f t="shared" ca="1" si="2"/>
        <v>81.95963805089778</v>
      </c>
      <c r="E21">
        <f t="shared" ca="1" si="3"/>
        <v>81.95963805089778</v>
      </c>
      <c r="F21" s="96">
        <f t="shared" si="1"/>
        <v>81.95963805089778</v>
      </c>
      <c r="M21" s="95">
        <f t="shared" ca="1" si="4"/>
        <v>5.3542560771856224E-3</v>
      </c>
      <c r="N21">
        <f t="shared" ca="1" si="5"/>
        <v>5.3542560771856224E-3</v>
      </c>
      <c r="O21" s="96">
        <f t="shared" si="0"/>
        <v>5.3542560771856224E-3</v>
      </c>
    </row>
    <row r="22" spans="1:15" x14ac:dyDescent="0.25">
      <c r="A22" s="95">
        <v>19</v>
      </c>
      <c r="B22" s="20">
        <v>44945</v>
      </c>
      <c r="C22">
        <v>81.974220059589186</v>
      </c>
      <c r="D22">
        <f t="shared" ca="1" si="2"/>
        <v>81.886465268545422</v>
      </c>
      <c r="E22">
        <f t="shared" ca="1" si="3"/>
        <v>81.886465268545422</v>
      </c>
      <c r="F22" s="96">
        <f t="shared" si="1"/>
        <v>81.886465268545422</v>
      </c>
      <c r="M22" s="95">
        <f t="shared" ca="1" si="4"/>
        <v>7.7009033511347101E-3</v>
      </c>
      <c r="N22">
        <f t="shared" ca="1" si="5"/>
        <v>7.7009033511347101E-3</v>
      </c>
      <c r="O22" s="96">
        <f t="shared" si="0"/>
        <v>7.7009033511347101E-3</v>
      </c>
    </row>
    <row r="23" spans="1:15" x14ac:dyDescent="0.25">
      <c r="A23" s="95">
        <v>20</v>
      </c>
      <c r="B23" s="20">
        <v>44946</v>
      </c>
      <c r="C23">
        <v>81.99523917121644</v>
      </c>
      <c r="D23">
        <f t="shared" ca="1" si="2"/>
        <v>81.974220059589186</v>
      </c>
      <c r="E23">
        <f t="shared" ca="1" si="3"/>
        <v>81.974220059589186</v>
      </c>
      <c r="F23" s="96">
        <f t="shared" si="1"/>
        <v>81.974220059589186</v>
      </c>
      <c r="M23" s="95">
        <f t="shared" ca="1" si="4"/>
        <v>4.4180305359896451E-4</v>
      </c>
      <c r="N23">
        <f t="shared" ca="1" si="5"/>
        <v>4.4180305359896451E-4</v>
      </c>
      <c r="O23" s="96">
        <f t="shared" si="0"/>
        <v>4.4180305359896451E-4</v>
      </c>
    </row>
    <row r="24" spans="1:15" x14ac:dyDescent="0.25">
      <c r="A24" s="95">
        <v>21</v>
      </c>
      <c r="B24" s="20">
        <v>44947</v>
      </c>
      <c r="C24">
        <v>82.084044917841567</v>
      </c>
      <c r="D24">
        <f t="shared" ca="1" si="2"/>
        <v>81.99523917121644</v>
      </c>
      <c r="E24">
        <f t="shared" ca="1" si="3"/>
        <v>81.99523917121644</v>
      </c>
      <c r="F24" s="96">
        <f t="shared" si="1"/>
        <v>81.99523917121644</v>
      </c>
      <c r="M24" s="95">
        <f t="shared" ca="1" si="4"/>
        <v>7.8864606336462306E-3</v>
      </c>
      <c r="N24">
        <f t="shared" ca="1" si="5"/>
        <v>7.8864606336462306E-3</v>
      </c>
      <c r="O24" s="96">
        <f t="shared" si="0"/>
        <v>7.8864606336462306E-3</v>
      </c>
    </row>
    <row r="25" spans="1:15" x14ac:dyDescent="0.25">
      <c r="A25" s="95">
        <v>22</v>
      </c>
      <c r="B25" s="20">
        <v>44948</v>
      </c>
      <c r="C25">
        <v>82.390529839256359</v>
      </c>
      <c r="D25">
        <f t="shared" ca="1" si="2"/>
        <v>82.084044917841567</v>
      </c>
      <c r="E25">
        <f t="shared" ca="1" si="3"/>
        <v>82.084044917841567</v>
      </c>
      <c r="F25" s="96">
        <f t="shared" si="1"/>
        <v>82.084044917841567</v>
      </c>
      <c r="M25" s="95">
        <f t="shared" ca="1" si="4"/>
        <v>9.3933007054631631E-2</v>
      </c>
      <c r="N25">
        <f t="shared" ca="1" si="5"/>
        <v>9.3933007054631631E-2</v>
      </c>
      <c r="O25" s="96">
        <f t="shared" si="0"/>
        <v>9.3933007054631631E-2</v>
      </c>
    </row>
    <row r="26" spans="1:15" x14ac:dyDescent="0.25">
      <c r="A26" s="95">
        <v>23</v>
      </c>
      <c r="B26" s="20">
        <v>44949</v>
      </c>
      <c r="C26">
        <v>82.414570448180029</v>
      </c>
      <c r="D26">
        <f t="shared" ca="1" si="2"/>
        <v>82.390529839256359</v>
      </c>
      <c r="E26">
        <f t="shared" ca="1" si="3"/>
        <v>82.390529839256359</v>
      </c>
      <c r="F26" s="96">
        <f t="shared" si="1"/>
        <v>82.390529839256359</v>
      </c>
      <c r="M26" s="95">
        <f t="shared" ca="1" si="4"/>
        <v>5.7795087742084131E-4</v>
      </c>
      <c r="N26">
        <f t="shared" ca="1" si="5"/>
        <v>5.7795087742084131E-4</v>
      </c>
      <c r="O26" s="96">
        <f t="shared" si="0"/>
        <v>5.7795087742084131E-4</v>
      </c>
    </row>
    <row r="27" spans="1:15" x14ac:dyDescent="0.25">
      <c r="A27" s="95">
        <v>24</v>
      </c>
      <c r="B27" s="20">
        <v>44950</v>
      </c>
      <c r="C27">
        <v>82.638029878667197</v>
      </c>
      <c r="D27">
        <f t="shared" ca="1" si="2"/>
        <v>82.414570448180029</v>
      </c>
      <c r="E27">
        <f t="shared" ca="1" si="3"/>
        <v>82.414570448180029</v>
      </c>
      <c r="F27" s="96">
        <f t="shared" si="1"/>
        <v>82.414570448180029</v>
      </c>
      <c r="M27" s="95">
        <f t="shared" ca="1" si="4"/>
        <v>4.9934117073649364E-2</v>
      </c>
      <c r="N27">
        <f t="shared" ca="1" si="5"/>
        <v>4.9934117073649364E-2</v>
      </c>
      <c r="O27" s="96">
        <f t="shared" si="0"/>
        <v>4.9934117073649364E-2</v>
      </c>
    </row>
    <row r="28" spans="1:15" x14ac:dyDescent="0.25">
      <c r="A28" s="95">
        <v>25</v>
      </c>
      <c r="B28" s="20">
        <v>44951</v>
      </c>
      <c r="C28">
        <v>82.766771937384078</v>
      </c>
      <c r="D28">
        <f t="shared" ca="1" si="2"/>
        <v>82.638029878667197</v>
      </c>
      <c r="E28">
        <f t="shared" ca="1" si="3"/>
        <v>82.638029878667197</v>
      </c>
      <c r="F28" s="96">
        <f t="shared" si="1"/>
        <v>82.638029878667197</v>
      </c>
      <c r="M28" s="95">
        <f t="shared" ca="1" si="4"/>
        <v>1.6574517682660848E-2</v>
      </c>
      <c r="N28">
        <f t="shared" ca="1" si="5"/>
        <v>1.6574517682660848E-2</v>
      </c>
      <c r="O28" s="96">
        <f t="shared" si="0"/>
        <v>1.6574517682660848E-2</v>
      </c>
    </row>
    <row r="29" spans="1:15" x14ac:dyDescent="0.25">
      <c r="A29" s="95">
        <v>26</v>
      </c>
      <c r="B29" s="20">
        <v>44952</v>
      </c>
      <c r="C29">
        <v>82.861620678602037</v>
      </c>
      <c r="D29">
        <f t="shared" ca="1" si="2"/>
        <v>82.766771937384078</v>
      </c>
      <c r="E29">
        <f t="shared" ca="1" si="3"/>
        <v>82.766771937384078</v>
      </c>
      <c r="F29" s="96">
        <f t="shared" si="1"/>
        <v>82.766771937384078</v>
      </c>
      <c r="M29" s="95">
        <f t="shared" ca="1" si="4"/>
        <v>8.9962837106313219E-3</v>
      </c>
      <c r="N29">
        <f t="shared" ca="1" si="5"/>
        <v>8.9962837106313219E-3</v>
      </c>
      <c r="O29" s="96">
        <f t="shared" si="0"/>
        <v>8.9962837106313219E-3</v>
      </c>
    </row>
    <row r="30" spans="1:15" x14ac:dyDescent="0.25">
      <c r="A30" s="95">
        <v>27</v>
      </c>
      <c r="B30" s="20">
        <v>44953</v>
      </c>
      <c r="C30">
        <v>83.145641424465211</v>
      </c>
      <c r="D30">
        <f t="shared" ca="1" si="2"/>
        <v>82.861620678602037</v>
      </c>
      <c r="E30">
        <f t="shared" ca="1" si="3"/>
        <v>82.861620678602037</v>
      </c>
      <c r="F30" s="96">
        <f t="shared" si="1"/>
        <v>82.861620678602037</v>
      </c>
      <c r="M30" s="95">
        <f t="shared" ca="1" si="4"/>
        <v>8.0667784080673571E-2</v>
      </c>
      <c r="N30">
        <f t="shared" ca="1" si="5"/>
        <v>8.0667784080673571E-2</v>
      </c>
      <c r="O30" s="96">
        <f t="shared" si="0"/>
        <v>8.0667784080673571E-2</v>
      </c>
    </row>
    <row r="31" spans="1:15" x14ac:dyDescent="0.25">
      <c r="A31" s="95">
        <v>28</v>
      </c>
      <c r="B31" s="20">
        <v>44954</v>
      </c>
      <c r="C31">
        <v>83.285287147338735</v>
      </c>
      <c r="D31">
        <f t="shared" ca="1" si="2"/>
        <v>83.145641424465211</v>
      </c>
      <c r="E31">
        <f t="shared" ca="1" si="3"/>
        <v>83.145641424465211</v>
      </c>
      <c r="F31" s="96">
        <f t="shared" si="1"/>
        <v>83.145641424465211</v>
      </c>
      <c r="M31" s="95">
        <f t="shared" ca="1" si="4"/>
        <v>1.9500927916869172E-2</v>
      </c>
      <c r="N31">
        <f t="shared" ca="1" si="5"/>
        <v>1.9500927916869172E-2</v>
      </c>
      <c r="O31" s="96">
        <f t="shared" si="0"/>
        <v>1.9500927916869172E-2</v>
      </c>
    </row>
    <row r="32" spans="1:15" x14ac:dyDescent="0.25">
      <c r="A32" s="95">
        <v>29</v>
      </c>
      <c r="B32" s="20">
        <v>44955</v>
      </c>
      <c r="C32">
        <v>83.547631934336309</v>
      </c>
      <c r="D32">
        <f t="shared" ca="1" si="2"/>
        <v>83.285287147338735</v>
      </c>
      <c r="E32">
        <f t="shared" ca="1" si="3"/>
        <v>83.285287147338735</v>
      </c>
      <c r="F32" s="96">
        <f t="shared" si="1"/>
        <v>83.285287147338735</v>
      </c>
      <c r="M32" s="95">
        <f t="shared" ca="1" si="4"/>
        <v>6.8824787264802192E-2</v>
      </c>
      <c r="N32">
        <f t="shared" ca="1" si="5"/>
        <v>6.8824787264802192E-2</v>
      </c>
      <c r="O32" s="96">
        <f t="shared" si="0"/>
        <v>6.8824787264802192E-2</v>
      </c>
    </row>
    <row r="33" spans="1:15" x14ac:dyDescent="0.25">
      <c r="A33" s="95">
        <v>30</v>
      </c>
      <c r="B33" s="20">
        <v>44956</v>
      </c>
      <c r="C33">
        <v>83.749546775405548</v>
      </c>
      <c r="D33">
        <f t="shared" ca="1" si="2"/>
        <v>83.547631934336309</v>
      </c>
      <c r="E33">
        <f t="shared" ca="1" si="3"/>
        <v>83.547631934336309</v>
      </c>
      <c r="F33" s="96">
        <f t="shared" si="1"/>
        <v>83.547631934336309</v>
      </c>
      <c r="M33" s="95">
        <f t="shared" ca="1" si="4"/>
        <v>4.076960304401625E-2</v>
      </c>
      <c r="N33">
        <f t="shared" ca="1" si="5"/>
        <v>4.076960304401625E-2</v>
      </c>
      <c r="O33" s="96">
        <f t="shared" si="0"/>
        <v>4.076960304401625E-2</v>
      </c>
    </row>
    <row r="34" spans="1:15" x14ac:dyDescent="0.25">
      <c r="A34" s="97">
        <v>31</v>
      </c>
      <c r="B34" s="98">
        <v>44957</v>
      </c>
      <c r="C34" s="99">
        <v>83.748233080928841</v>
      </c>
      <c r="D34" s="99">
        <f t="shared" ca="1" si="2"/>
        <v>83.749546775405548</v>
      </c>
      <c r="E34" s="99">
        <f t="shared" ca="1" si="3"/>
        <v>83.749546775405548</v>
      </c>
      <c r="F34" s="100">
        <f t="shared" si="1"/>
        <v>83.749546775405548</v>
      </c>
      <c r="M34" s="97">
        <f t="shared" ca="1" si="4"/>
        <v>1.7257931781302896E-6</v>
      </c>
      <c r="N34" s="99">
        <f t="shared" ca="1" si="5"/>
        <v>1.7257931781302896E-6</v>
      </c>
      <c r="O34" s="100">
        <f t="shared" si="0"/>
        <v>1.7257931781302896E-6</v>
      </c>
    </row>
    <row r="35" spans="1:15" x14ac:dyDescent="0.25">
      <c r="A35" s="102">
        <v>32</v>
      </c>
      <c r="B35" s="103">
        <v>44958</v>
      </c>
      <c r="C35" s="104"/>
      <c r="D35" s="104">
        <f t="shared" ca="1" si="2"/>
        <v>83.748233080928841</v>
      </c>
      <c r="E35" s="104">
        <f t="shared" ca="1" si="3"/>
        <v>83.748233080928841</v>
      </c>
      <c r="F35" s="105">
        <f t="shared" si="1"/>
        <v>83.748233080928841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CDB9A-9946-49AF-BBCD-F287170B408E}">
  <sheetPr codeName="Sheet12"/>
  <dimension ref="A1:R54"/>
  <sheetViews>
    <sheetView zoomScale="55" zoomScaleNormal="55" workbookViewId="0">
      <selection activeCell="A33" sqref="A33:H33"/>
    </sheetView>
  </sheetViews>
  <sheetFormatPr defaultRowHeight="15" x14ac:dyDescent="0.25"/>
  <cols>
    <col min="2" max="2" width="11.85546875" bestFit="1" customWidth="1"/>
    <col min="3" max="3" width="13.5703125" customWidth="1"/>
    <col min="4" max="4" width="17.85546875" bestFit="1" customWidth="1"/>
    <col min="5" max="6" width="18" bestFit="1" customWidth="1"/>
    <col min="7" max="7" width="27.5703125" bestFit="1" customWidth="1"/>
    <col min="10" max="10" width="18" bestFit="1" customWidth="1"/>
    <col min="11" max="11" width="12.7109375" bestFit="1" customWidth="1"/>
    <col min="12" max="12" width="14.5703125" bestFit="1" customWidth="1"/>
    <col min="13" max="13" width="12.7109375" bestFit="1" customWidth="1"/>
    <col min="14" max="14" width="12" bestFit="1" customWidth="1"/>
    <col min="15" max="15" width="13.42578125" bestFit="1" customWidth="1"/>
    <col min="16" max="16" width="12" bestFit="1" customWidth="1"/>
    <col min="17" max="17" width="12.7109375" bestFit="1" customWidth="1"/>
    <col min="18" max="18" width="12.5703125" bestFit="1" customWidth="1"/>
  </cols>
  <sheetData>
    <row r="1" spans="1:15" x14ac:dyDescent="0.25">
      <c r="A1" s="93" t="s">
        <v>204</v>
      </c>
      <c r="B1" s="93" t="s">
        <v>131</v>
      </c>
      <c r="C1" s="94" t="s">
        <v>200</v>
      </c>
      <c r="D1" s="111" t="s">
        <v>283</v>
      </c>
      <c r="E1" s="111" t="s">
        <v>284</v>
      </c>
      <c r="F1" s="111" t="s">
        <v>285</v>
      </c>
      <c r="G1" s="83" t="s">
        <v>287</v>
      </c>
      <c r="H1" s="112" t="s">
        <v>286</v>
      </c>
    </row>
    <row r="2" spans="1:15" x14ac:dyDescent="0.25">
      <c r="A2" s="95">
        <v>1</v>
      </c>
      <c r="B2" s="37">
        <v>44927</v>
      </c>
      <c r="C2">
        <v>80</v>
      </c>
      <c r="J2" t="s">
        <v>288</v>
      </c>
    </row>
    <row r="3" spans="1:15" ht="15.75" thickBot="1" x14ac:dyDescent="0.3">
      <c r="A3" s="95">
        <v>2</v>
      </c>
      <c r="B3" s="38">
        <v>44928</v>
      </c>
      <c r="C3">
        <v>80.050577237353068</v>
      </c>
      <c r="D3">
        <v>80</v>
      </c>
    </row>
    <row r="4" spans="1:15" x14ac:dyDescent="0.25">
      <c r="A4" s="95">
        <v>3</v>
      </c>
      <c r="B4" s="37">
        <v>44929</v>
      </c>
      <c r="C4">
        <v>80.161321681739125</v>
      </c>
      <c r="D4">
        <v>80.050577237353068</v>
      </c>
      <c r="E4">
        <v>80</v>
      </c>
      <c r="J4" s="113" t="s">
        <v>289</v>
      </c>
      <c r="K4" s="113"/>
    </row>
    <row r="5" spans="1:15" x14ac:dyDescent="0.25">
      <c r="A5" s="95">
        <v>4</v>
      </c>
      <c r="B5" s="38">
        <v>44930</v>
      </c>
      <c r="C5">
        <v>80.385043851121637</v>
      </c>
      <c r="D5">
        <v>80.161321681739125</v>
      </c>
      <c r="E5">
        <v>80.050577237353068</v>
      </c>
      <c r="F5">
        <v>80</v>
      </c>
      <c r="G5">
        <f>($K$19*D5)+($K$20*E5)+($K$21*F5)+$K$18</f>
        <v>80.275365487969282</v>
      </c>
      <c r="H5">
        <f>(G5-C5)^2</f>
        <v>1.2029343343779867E-2</v>
      </c>
      <c r="J5" t="s">
        <v>290</v>
      </c>
      <c r="K5" s="118">
        <v>0.9949291983295776</v>
      </c>
    </row>
    <row r="6" spans="1:15" x14ac:dyDescent="0.25">
      <c r="A6" s="95">
        <v>5</v>
      </c>
      <c r="B6" s="20">
        <v>44931</v>
      </c>
      <c r="C6">
        <v>80.497233359432073</v>
      </c>
      <c r="D6">
        <v>80.385043851121637</v>
      </c>
      <c r="E6">
        <v>80.161321681739125</v>
      </c>
      <c r="F6">
        <v>80.050577237353068</v>
      </c>
      <c r="G6">
        <f t="shared" ref="G6:G33" si="0">($K$19*D6)+($K$20*E6)+($K$21*F6)+$K$18</f>
        <v>80.478462590479594</v>
      </c>
      <c r="H6">
        <f t="shared" ref="H6:H32" si="1">(G6-C6)^2</f>
        <v>3.5234176706733206E-4</v>
      </c>
      <c r="J6" t="s">
        <v>291</v>
      </c>
      <c r="K6" s="119">
        <v>0.98988410968873597</v>
      </c>
    </row>
    <row r="7" spans="1:15" x14ac:dyDescent="0.25">
      <c r="A7" s="95">
        <v>6</v>
      </c>
      <c r="B7" s="20">
        <v>44932</v>
      </c>
      <c r="C7">
        <v>80.676946763845038</v>
      </c>
      <c r="D7">
        <v>80.497233359432073</v>
      </c>
      <c r="E7">
        <v>80.385043851121637</v>
      </c>
      <c r="F7">
        <v>80.161321681739125</v>
      </c>
      <c r="G7">
        <f t="shared" si="0"/>
        <v>80.591704502687548</v>
      </c>
      <c r="H7">
        <f t="shared" si="1"/>
        <v>7.2662430872416353E-3</v>
      </c>
      <c r="J7" t="s">
        <v>292</v>
      </c>
      <c r="K7">
        <v>0.98861962339982801</v>
      </c>
    </row>
    <row r="8" spans="1:15" x14ac:dyDescent="0.25">
      <c r="A8" s="95">
        <v>7</v>
      </c>
      <c r="B8" s="20">
        <v>44933</v>
      </c>
      <c r="C8">
        <v>80.67379389710095</v>
      </c>
      <c r="D8">
        <v>80.676946763845038</v>
      </c>
      <c r="E8">
        <v>80.497233359432073</v>
      </c>
      <c r="F8">
        <v>80.385043851121637</v>
      </c>
      <c r="G8">
        <f t="shared" si="0"/>
        <v>80.781356529944134</v>
      </c>
      <c r="H8">
        <f t="shared" si="1"/>
        <v>1.156971998415756E-2</v>
      </c>
      <c r="J8" t="s">
        <v>293</v>
      </c>
      <c r="K8">
        <v>0.10885576743911544</v>
      </c>
    </row>
    <row r="9" spans="1:15" ht="15.75" thickBot="1" x14ac:dyDescent="0.3">
      <c r="A9" s="95">
        <v>8</v>
      </c>
      <c r="B9" s="20">
        <v>44934</v>
      </c>
      <c r="C9">
        <v>80.844311440176995</v>
      </c>
      <c r="D9">
        <v>80.67379389710095</v>
      </c>
      <c r="E9">
        <v>80.676946763845038</v>
      </c>
      <c r="F9">
        <v>80.497233359432073</v>
      </c>
      <c r="G9">
        <f t="shared" si="0"/>
        <v>80.793814838978889</v>
      </c>
      <c r="H9">
        <f t="shared" si="1"/>
        <v>2.549906732560499E-3</v>
      </c>
      <c r="J9" s="8" t="s">
        <v>256</v>
      </c>
      <c r="K9" s="8">
        <v>28</v>
      </c>
    </row>
    <row r="10" spans="1:15" x14ac:dyDescent="0.25">
      <c r="A10" s="95">
        <v>9</v>
      </c>
      <c r="B10" s="20">
        <v>44935</v>
      </c>
      <c r="C10">
        <v>81.02402484458996</v>
      </c>
      <c r="D10">
        <v>80.844311440176995</v>
      </c>
      <c r="E10">
        <v>80.67379389710095</v>
      </c>
      <c r="F10">
        <v>80.676946763845038</v>
      </c>
      <c r="G10">
        <f t="shared" si="0"/>
        <v>80.969695722922978</v>
      </c>
      <c r="H10">
        <f t="shared" si="1"/>
        <v>2.9516534611056734E-3</v>
      </c>
    </row>
    <row r="11" spans="1:15" ht="15.75" thickBot="1" x14ac:dyDescent="0.3">
      <c r="A11" s="95">
        <v>10</v>
      </c>
      <c r="B11" s="20">
        <v>44936</v>
      </c>
      <c r="C11">
        <v>81.031381533659498</v>
      </c>
      <c r="D11">
        <v>81.02402484458996</v>
      </c>
      <c r="E11">
        <v>80.844311440176995</v>
      </c>
      <c r="F11">
        <v>80.67379389710095</v>
      </c>
      <c r="G11">
        <f t="shared" si="0"/>
        <v>81.125968602683429</v>
      </c>
      <c r="H11">
        <f t="shared" si="1"/>
        <v>8.9467136265377594E-3</v>
      </c>
      <c r="J11" t="s">
        <v>294</v>
      </c>
    </row>
    <row r="12" spans="1:15" x14ac:dyDescent="0.25">
      <c r="A12" s="95">
        <v>11</v>
      </c>
      <c r="B12" s="20">
        <v>44937</v>
      </c>
      <c r="C12">
        <v>81.014828983253039</v>
      </c>
      <c r="D12">
        <v>81.031381533659498</v>
      </c>
      <c r="E12">
        <v>81.02402484458996</v>
      </c>
      <c r="F12">
        <v>80.844311440176995</v>
      </c>
      <c r="G12">
        <f t="shared" si="0"/>
        <v>81.156143240344804</v>
      </c>
      <c r="H12">
        <f t="shared" si="1"/>
        <v>1.9969719257397246E-2</v>
      </c>
      <c r="J12" s="79"/>
      <c r="K12" s="79" t="s">
        <v>258</v>
      </c>
      <c r="L12" s="79" t="s">
        <v>299</v>
      </c>
      <c r="M12" s="79" t="s">
        <v>300</v>
      </c>
      <c r="N12" s="79" t="s">
        <v>301</v>
      </c>
      <c r="O12" s="79" t="s">
        <v>302</v>
      </c>
    </row>
    <row r="13" spans="1:15" x14ac:dyDescent="0.25">
      <c r="A13" s="95">
        <v>12</v>
      </c>
      <c r="B13" s="20">
        <v>44938</v>
      </c>
      <c r="C13">
        <v>81.134900658423689</v>
      </c>
      <c r="D13">
        <v>81.014828983253039</v>
      </c>
      <c r="E13">
        <v>81.031381533659498</v>
      </c>
      <c r="F13">
        <v>81.02402484458996</v>
      </c>
      <c r="G13">
        <f t="shared" si="0"/>
        <v>81.167722895618553</v>
      </c>
      <c r="H13">
        <f t="shared" si="1"/>
        <v>1.0772992544759205E-3</v>
      </c>
      <c r="J13" t="s">
        <v>295</v>
      </c>
      <c r="K13">
        <v>3</v>
      </c>
      <c r="L13">
        <v>27.828793025219731</v>
      </c>
      <c r="M13">
        <v>9.2762643417399104</v>
      </c>
      <c r="N13">
        <v>782.83498870010965</v>
      </c>
      <c r="O13">
        <v>4.6053641174726221E-24</v>
      </c>
    </row>
    <row r="14" spans="1:15" x14ac:dyDescent="0.25">
      <c r="A14" s="95">
        <v>13</v>
      </c>
      <c r="B14" s="20">
        <v>44939</v>
      </c>
      <c r="C14">
        <v>81.239207999873898</v>
      </c>
      <c r="D14">
        <v>81.134900658423689</v>
      </c>
      <c r="E14">
        <v>81.014828983253039</v>
      </c>
      <c r="F14">
        <v>81.031381533659498</v>
      </c>
      <c r="G14">
        <f t="shared" si="0"/>
        <v>81.274311210131017</v>
      </c>
      <c r="H14">
        <f t="shared" si="1"/>
        <v>1.2322353703555467E-3</v>
      </c>
      <c r="J14" t="s">
        <v>296</v>
      </c>
      <c r="K14">
        <v>24</v>
      </c>
      <c r="L14">
        <v>0.28438987451421088</v>
      </c>
      <c r="M14">
        <v>1.1849578104758786E-2</v>
      </c>
    </row>
    <row r="15" spans="1:15" ht="15.75" thickBot="1" x14ac:dyDescent="0.3">
      <c r="A15" s="95">
        <v>14</v>
      </c>
      <c r="B15" s="20">
        <v>44940</v>
      </c>
      <c r="C15">
        <v>81.245645102809746</v>
      </c>
      <c r="D15">
        <v>81.239207999873898</v>
      </c>
      <c r="E15">
        <v>81.134900658423689</v>
      </c>
      <c r="F15">
        <v>81.014828983253039</v>
      </c>
      <c r="G15">
        <f t="shared" si="0"/>
        <v>81.362741131933745</v>
      </c>
      <c r="H15">
        <f t="shared" si="1"/>
        <v>1.3711480036608492E-2</v>
      </c>
      <c r="J15" s="8" t="s">
        <v>297</v>
      </c>
      <c r="K15" s="8">
        <v>27</v>
      </c>
      <c r="L15" s="8">
        <v>28.113182899733943</v>
      </c>
      <c r="M15" s="8"/>
      <c r="N15" s="8"/>
      <c r="O15" s="8"/>
    </row>
    <row r="16" spans="1:15" ht="15.75" thickBot="1" x14ac:dyDescent="0.3">
      <c r="A16" s="95">
        <v>15</v>
      </c>
      <c r="B16" s="20">
        <v>44941</v>
      </c>
      <c r="C16">
        <v>81.496823486755346</v>
      </c>
      <c r="D16">
        <v>81.245645102809746</v>
      </c>
      <c r="E16">
        <v>81.239207999873898</v>
      </c>
      <c r="F16">
        <v>81.134900658423689</v>
      </c>
      <c r="G16">
        <f t="shared" si="0"/>
        <v>81.385228776627017</v>
      </c>
      <c r="H16">
        <f t="shared" si="1"/>
        <v>1.2453379328625924E-2</v>
      </c>
    </row>
    <row r="17" spans="1:18" x14ac:dyDescent="0.25">
      <c r="A17" s="95">
        <v>16</v>
      </c>
      <c r="B17" s="20">
        <v>44942</v>
      </c>
      <c r="C17">
        <v>81.756934993142522</v>
      </c>
      <c r="D17">
        <v>81.496823486755346</v>
      </c>
      <c r="E17">
        <v>81.245645102809746</v>
      </c>
      <c r="F17">
        <v>81.239207999873898</v>
      </c>
      <c r="G17">
        <f t="shared" si="0"/>
        <v>81.620891161239385</v>
      </c>
      <c r="H17">
        <f t="shared" si="1"/>
        <v>1.8507924198889105E-2</v>
      </c>
      <c r="J17" s="79"/>
      <c r="K17" s="79" t="s">
        <v>303</v>
      </c>
      <c r="L17" s="79" t="s">
        <v>293</v>
      </c>
      <c r="M17" s="79" t="s">
        <v>259</v>
      </c>
      <c r="N17" s="79" t="s">
        <v>304</v>
      </c>
      <c r="O17" s="79" t="s">
        <v>305</v>
      </c>
      <c r="P17" s="79" t="s">
        <v>306</v>
      </c>
      <c r="Q17" s="79" t="s">
        <v>307</v>
      </c>
      <c r="R17" s="79" t="s">
        <v>308</v>
      </c>
    </row>
    <row r="18" spans="1:18" x14ac:dyDescent="0.25">
      <c r="A18" s="95">
        <v>17</v>
      </c>
      <c r="B18" s="20">
        <v>44943</v>
      </c>
      <c r="C18">
        <v>81.95963805089778</v>
      </c>
      <c r="D18">
        <v>81.756934993142522</v>
      </c>
      <c r="E18">
        <v>81.496823486755346</v>
      </c>
      <c r="F18">
        <v>81.245645102809746</v>
      </c>
      <c r="G18">
        <f t="shared" si="0"/>
        <v>81.848649837444924</v>
      </c>
      <c r="H18">
        <f t="shared" si="1"/>
        <v>1.2318383525456757E-2</v>
      </c>
      <c r="J18" t="s">
        <v>298</v>
      </c>
      <c r="K18" s="117">
        <v>-1.2543546315553122</v>
      </c>
      <c r="L18">
        <v>1.8618133639761678</v>
      </c>
      <c r="M18">
        <v>-0.67372737559282481</v>
      </c>
      <c r="N18">
        <v>0.50692190956230609</v>
      </c>
      <c r="O18">
        <v>-5.0969485554855609</v>
      </c>
      <c r="P18">
        <v>2.588239292374936</v>
      </c>
      <c r="Q18">
        <v>-5.0969485554855609</v>
      </c>
      <c r="R18">
        <v>2.588239292374936</v>
      </c>
    </row>
    <row r="19" spans="1:18" x14ac:dyDescent="0.25">
      <c r="A19" s="95">
        <v>18</v>
      </c>
      <c r="B19" s="20">
        <v>44944</v>
      </c>
      <c r="C19">
        <v>81.886465268545422</v>
      </c>
      <c r="D19">
        <v>81.95963805089778</v>
      </c>
      <c r="E19">
        <v>81.756934993142522</v>
      </c>
      <c r="F19">
        <v>81.496823486755346</v>
      </c>
      <c r="G19">
        <f t="shared" si="0"/>
        <v>82.06157407127219</v>
      </c>
      <c r="H19">
        <f t="shared" si="1"/>
        <v>3.0663092792402303E-2</v>
      </c>
      <c r="J19" t="s">
        <v>312</v>
      </c>
      <c r="K19" s="114">
        <v>0.87794229104003074</v>
      </c>
      <c r="L19">
        <v>0.2118684554531613</v>
      </c>
      <c r="M19">
        <v>4.1438084266117725</v>
      </c>
      <c r="N19" s="114">
        <v>3.6614079320850624E-4</v>
      </c>
      <c r="O19">
        <v>0.44066729057589976</v>
      </c>
      <c r="P19">
        <v>1.3152172915041618</v>
      </c>
      <c r="Q19">
        <v>0.44066729057589976</v>
      </c>
      <c r="R19">
        <v>1.3152172915041618</v>
      </c>
    </row>
    <row r="20" spans="1:18" x14ac:dyDescent="0.25">
      <c r="A20" s="95">
        <v>19</v>
      </c>
      <c r="B20" s="20">
        <v>44945</v>
      </c>
      <c r="C20">
        <v>81.974220059589186</v>
      </c>
      <c r="D20">
        <v>81.886465268545422</v>
      </c>
      <c r="E20">
        <v>81.95963805089778</v>
      </c>
      <c r="F20">
        <v>81.756934993142522</v>
      </c>
      <c r="G20">
        <f t="shared" si="0"/>
        <v>82.03394767268621</v>
      </c>
      <c r="H20">
        <f t="shared" si="1"/>
        <v>3.5673877662678343E-3</v>
      </c>
      <c r="J20" t="s">
        <v>313</v>
      </c>
      <c r="K20" s="115">
        <v>-6.1355793128945258E-3</v>
      </c>
      <c r="L20">
        <v>0.28545361599850716</v>
      </c>
      <c r="M20">
        <v>-2.1494137642756688E-2</v>
      </c>
      <c r="N20" s="115">
        <v>0.98302918653186167</v>
      </c>
      <c r="O20">
        <v>-0.5952828867837322</v>
      </c>
      <c r="P20">
        <v>0.58301172815794311</v>
      </c>
      <c r="Q20">
        <v>-0.5952828867837322</v>
      </c>
      <c r="R20">
        <v>0.58301172815794311</v>
      </c>
    </row>
    <row r="21" spans="1:18" ht="15.75" thickBot="1" x14ac:dyDescent="0.3">
      <c r="A21" s="95">
        <v>20</v>
      </c>
      <c r="B21" s="20">
        <v>44946</v>
      </c>
      <c r="C21">
        <v>81.99523917121644</v>
      </c>
      <c r="D21">
        <v>81.974220059589186</v>
      </c>
      <c r="E21">
        <v>81.886465268545422</v>
      </c>
      <c r="F21">
        <v>81.95963805089778</v>
      </c>
      <c r="G21">
        <f t="shared" si="0"/>
        <v>82.140943353738621</v>
      </c>
      <c r="H21">
        <f t="shared" si="1"/>
        <v>2.1229708804456966E-2</v>
      </c>
      <c r="J21" s="8" t="s">
        <v>314</v>
      </c>
      <c r="K21" s="116">
        <v>0.14554827968930531</v>
      </c>
      <c r="L21" s="8">
        <v>0.21708185371051672</v>
      </c>
      <c r="M21" s="8">
        <v>0.67047649170804047</v>
      </c>
      <c r="N21" s="116">
        <v>0.50895516269039165</v>
      </c>
      <c r="O21" s="8">
        <v>-0.30248664593937558</v>
      </c>
      <c r="P21" s="8">
        <v>0.59358320531798625</v>
      </c>
      <c r="Q21" s="8">
        <v>-0.30248664593937558</v>
      </c>
      <c r="R21" s="8">
        <v>0.59358320531798625</v>
      </c>
    </row>
    <row r="22" spans="1:18" x14ac:dyDescent="0.25">
      <c r="A22" s="95">
        <v>21</v>
      </c>
      <c r="B22" s="20">
        <v>44947</v>
      </c>
      <c r="C22">
        <v>82.084044917841567</v>
      </c>
      <c r="D22">
        <v>81.99523917121644</v>
      </c>
      <c r="E22">
        <v>81.974220059589186</v>
      </c>
      <c r="F22">
        <v>81.886465268545422</v>
      </c>
      <c r="G22">
        <f t="shared" si="0"/>
        <v>82.14820832168428</v>
      </c>
      <c r="H22">
        <f t="shared" si="1"/>
        <v>4.1169423926830512E-3</v>
      </c>
    </row>
    <row r="23" spans="1:18" x14ac:dyDescent="0.25">
      <c r="A23" s="95">
        <v>22</v>
      </c>
      <c r="B23" s="20">
        <v>44948</v>
      </c>
      <c r="C23">
        <v>82.390529839256359</v>
      </c>
      <c r="D23">
        <v>82.084044917841567</v>
      </c>
      <c r="E23">
        <v>81.99523917121644</v>
      </c>
      <c r="F23">
        <v>81.974220059589186</v>
      </c>
      <c r="G23">
        <f t="shared" si="0"/>
        <v>82.238818236778286</v>
      </c>
      <c r="H23">
        <f t="shared" si="1"/>
        <v>2.3016410326464953E-2</v>
      </c>
    </row>
    <row r="24" spans="1:18" x14ac:dyDescent="0.25">
      <c r="A24" s="95">
        <v>23</v>
      </c>
      <c r="B24" s="20">
        <v>44949</v>
      </c>
      <c r="C24">
        <v>82.414570448180029</v>
      </c>
      <c r="D24">
        <v>82.390529839256359</v>
      </c>
      <c r="E24">
        <v>82.084044917841567</v>
      </c>
      <c r="F24">
        <v>81.99523917121644</v>
      </c>
      <c r="G24">
        <f t="shared" si="0"/>
        <v>82.510408731690504</v>
      </c>
      <c r="H24">
        <f t="shared" si="1"/>
        <v>9.1849765862340501E-3</v>
      </c>
    </row>
    <row r="25" spans="1:18" x14ac:dyDescent="0.25">
      <c r="A25" s="95">
        <v>24</v>
      </c>
      <c r="B25" s="20">
        <v>44950</v>
      </c>
      <c r="C25">
        <v>82.638029878667197</v>
      </c>
      <c r="D25">
        <v>82.414570448180029</v>
      </c>
      <c r="E25">
        <v>82.390529839256359</v>
      </c>
      <c r="F25">
        <v>82.084044917841567</v>
      </c>
      <c r="G25">
        <f t="shared" si="0"/>
        <v>82.542560060071224</v>
      </c>
      <c r="H25">
        <f t="shared" si="1"/>
        <v>9.1144862627479551E-3</v>
      </c>
    </row>
    <row r="26" spans="1:18" x14ac:dyDescent="0.25">
      <c r="A26" s="95">
        <v>25</v>
      </c>
      <c r="B26" s="20">
        <v>44951</v>
      </c>
      <c r="C26">
        <v>82.766771937384078</v>
      </c>
      <c r="D26">
        <v>82.638029878667197</v>
      </c>
      <c r="E26">
        <v>82.414570448180029</v>
      </c>
      <c r="F26">
        <v>82.390529839256359</v>
      </c>
      <c r="G26">
        <f t="shared" si="0"/>
        <v>82.783205394427455</v>
      </c>
      <c r="H26">
        <f t="shared" si="1"/>
        <v>2.7005851039650462E-4</v>
      </c>
    </row>
    <row r="27" spans="1:18" x14ac:dyDescent="0.25">
      <c r="A27" s="95">
        <v>26</v>
      </c>
      <c r="B27" s="20">
        <v>44952</v>
      </c>
      <c r="C27">
        <v>82.861620678602037</v>
      </c>
      <c r="D27">
        <v>82.766771937384078</v>
      </c>
      <c r="E27">
        <v>82.638029878667197</v>
      </c>
      <c r="F27">
        <v>82.414570448180029</v>
      </c>
      <c r="G27">
        <f t="shared" si="0"/>
        <v>82.89836150862314</v>
      </c>
      <c r="H27">
        <f t="shared" si="1"/>
        <v>1.3498885906395475E-3</v>
      </c>
    </row>
    <row r="28" spans="1:18" x14ac:dyDescent="0.25">
      <c r="A28" s="95">
        <v>27</v>
      </c>
      <c r="B28" s="20">
        <v>44953</v>
      </c>
      <c r="C28">
        <v>83.145641424465211</v>
      </c>
      <c r="D28">
        <v>82.861620678602037</v>
      </c>
      <c r="E28">
        <v>82.766771937384078</v>
      </c>
      <c r="F28">
        <v>82.638029878667197</v>
      </c>
      <c r="G28">
        <f t="shared" si="0"/>
        <v>83.013367458365892</v>
      </c>
      <c r="H28">
        <f t="shared" si="1"/>
        <v>1.7496402107643871E-2</v>
      </c>
    </row>
    <row r="29" spans="1:18" x14ac:dyDescent="0.25">
      <c r="A29" s="95">
        <v>28</v>
      </c>
      <c r="B29" s="20">
        <v>44954</v>
      </c>
      <c r="C29">
        <v>83.285287147338735</v>
      </c>
      <c r="D29">
        <v>83.145641424465211</v>
      </c>
      <c r="E29">
        <v>82.861620678602037</v>
      </c>
      <c r="F29">
        <v>82.766771937384078</v>
      </c>
      <c r="G29">
        <f t="shared" si="0"/>
        <v>83.28087751588734</v>
      </c>
      <c r="H29">
        <f t="shared" si="1"/>
        <v>1.944484953713248E-5</v>
      </c>
    </row>
    <row r="30" spans="1:18" x14ac:dyDescent="0.25">
      <c r="A30" s="95">
        <v>29</v>
      </c>
      <c r="B30" s="20">
        <v>44955</v>
      </c>
      <c r="C30">
        <v>83.547631934336309</v>
      </c>
      <c r="D30">
        <v>83.285287147338735</v>
      </c>
      <c r="E30">
        <v>83.145641424465211</v>
      </c>
      <c r="F30">
        <v>82.861620678602037</v>
      </c>
      <c r="G30">
        <f t="shared" si="0"/>
        <v>83.415540841063091</v>
      </c>
      <c r="H30">
        <f t="shared" si="1"/>
        <v>1.7448056922113861E-2</v>
      </c>
    </row>
    <row r="31" spans="1:18" x14ac:dyDescent="0.25">
      <c r="A31" s="95">
        <v>30</v>
      </c>
      <c r="B31" s="20">
        <v>44956</v>
      </c>
      <c r="C31">
        <v>83.749546775405548</v>
      </c>
      <c r="D31">
        <v>83.547631934336309</v>
      </c>
      <c r="E31">
        <v>83.285287147338735</v>
      </c>
      <c r="F31">
        <v>83.145641424465211</v>
      </c>
      <c r="G31">
        <f t="shared" si="0"/>
        <v>83.686346347950192</v>
      </c>
      <c r="H31">
        <f t="shared" si="1"/>
        <v>3.994294030539791E-3</v>
      </c>
    </row>
    <row r="32" spans="1:18" x14ac:dyDescent="0.25">
      <c r="A32" s="95">
        <v>31</v>
      </c>
      <c r="B32" s="20">
        <v>44957</v>
      </c>
      <c r="C32">
        <v>83.748233080928841</v>
      </c>
      <c r="D32">
        <v>83.749546775405548</v>
      </c>
      <c r="E32">
        <v>83.547631934336309</v>
      </c>
      <c r="F32">
        <v>83.285287147338735</v>
      </c>
      <c r="G32">
        <f t="shared" si="0"/>
        <v>83.882331483595777</v>
      </c>
      <c r="H32">
        <f t="shared" si="1"/>
        <v>1.7982381597823727E-2</v>
      </c>
      <c r="J32" s="120" t="s">
        <v>315</v>
      </c>
      <c r="K32" s="120">
        <f>AVERAGE(H5:H32)</f>
        <v>1.0156781232650389E-2</v>
      </c>
    </row>
    <row r="33" spans="1:15" x14ac:dyDescent="0.25">
      <c r="A33" s="111">
        <v>32</v>
      </c>
      <c r="B33" s="121">
        <v>44958</v>
      </c>
      <c r="C33" s="111"/>
      <c r="D33" s="111">
        <v>83.748233080928841</v>
      </c>
      <c r="E33" s="111">
        <v>83.749546775405548</v>
      </c>
      <c r="F33" s="111">
        <v>83.547631934336309</v>
      </c>
      <c r="G33" s="111">
        <f t="shared" si="0"/>
        <v>83.918123103568291</v>
      </c>
      <c r="H33" s="111"/>
    </row>
    <row r="34" spans="1:15" x14ac:dyDescent="0.25">
      <c r="E34" s="99"/>
    </row>
    <row r="35" spans="1:15" x14ac:dyDescent="0.25">
      <c r="F35" s="99"/>
    </row>
    <row r="36" spans="1:15" ht="15.75" thickBot="1" x14ac:dyDescent="0.3"/>
    <row r="37" spans="1:15" x14ac:dyDescent="0.25">
      <c r="J37" s="113"/>
      <c r="K37" s="113"/>
    </row>
    <row r="42" spans="1:15" ht="15.75" thickBot="1" x14ac:dyDescent="0.3">
      <c r="J42" s="8"/>
      <c r="K42" s="8"/>
    </row>
    <row r="44" spans="1:15" ht="15.75" thickBot="1" x14ac:dyDescent="0.3"/>
    <row r="45" spans="1:15" x14ac:dyDescent="0.25">
      <c r="J45" s="79"/>
      <c r="K45" s="79"/>
      <c r="L45" s="79"/>
      <c r="M45" s="79"/>
      <c r="N45" s="79"/>
      <c r="O45" s="79"/>
    </row>
    <row r="48" spans="1:15" ht="15.75" thickBot="1" x14ac:dyDescent="0.3">
      <c r="J48" s="8"/>
      <c r="K48" s="8"/>
      <c r="L48" s="8"/>
      <c r="M48" s="8"/>
      <c r="N48" s="8"/>
      <c r="O48" s="8"/>
    </row>
    <row r="49" spans="10:18" ht="15.75" thickBot="1" x14ac:dyDescent="0.3"/>
    <row r="50" spans="10:18" x14ac:dyDescent="0.25">
      <c r="J50" s="79"/>
      <c r="K50" s="79"/>
      <c r="L50" s="79"/>
      <c r="M50" s="79"/>
      <c r="N50" s="79"/>
      <c r="O50" s="79"/>
      <c r="P50" s="79"/>
      <c r="Q50" s="79"/>
      <c r="R50" s="79"/>
    </row>
    <row r="54" spans="10:18" ht="15.75" thickBot="1" x14ac:dyDescent="0.3">
      <c r="J54" s="8"/>
      <c r="K54" s="8"/>
      <c r="L54" s="8"/>
      <c r="M54" s="8"/>
      <c r="N54" s="8"/>
      <c r="O54" s="8"/>
      <c r="P54" s="8"/>
      <c r="Q54" s="8"/>
      <c r="R54" s="8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30BB5-26AE-47E2-9BEB-8C77D6CB2A2A}">
  <sheetPr codeName="Sheet13"/>
  <dimension ref="A1:R43"/>
  <sheetViews>
    <sheetView zoomScale="75" zoomScaleNormal="75" workbookViewId="0">
      <selection activeCell="J39" sqref="J39"/>
    </sheetView>
  </sheetViews>
  <sheetFormatPr defaultRowHeight="15" x14ac:dyDescent="0.25"/>
  <cols>
    <col min="2" max="2" width="10.85546875" bestFit="1" customWidth="1"/>
    <col min="3" max="3" width="12" bestFit="1" customWidth="1"/>
    <col min="4" max="6" width="18" bestFit="1" customWidth="1"/>
    <col min="7" max="7" width="27.5703125" bestFit="1" customWidth="1"/>
    <col min="10" max="10" width="18" bestFit="1" customWidth="1"/>
  </cols>
  <sheetData>
    <row r="1" spans="1:15" x14ac:dyDescent="0.25">
      <c r="A1" s="93" t="s">
        <v>204</v>
      </c>
      <c r="B1" s="93" t="s">
        <v>131</v>
      </c>
      <c r="C1" s="94" t="s">
        <v>200</v>
      </c>
      <c r="D1" s="111" t="s">
        <v>283</v>
      </c>
      <c r="E1" s="111" t="s">
        <v>284</v>
      </c>
      <c r="F1" s="111" t="s">
        <v>285</v>
      </c>
      <c r="G1" s="83" t="s">
        <v>287</v>
      </c>
      <c r="H1" s="112" t="s">
        <v>286</v>
      </c>
    </row>
    <row r="2" spans="1:15" x14ac:dyDescent="0.25">
      <c r="A2" s="95">
        <v>1</v>
      </c>
      <c r="B2" s="37">
        <v>44927</v>
      </c>
      <c r="C2">
        <v>80</v>
      </c>
      <c r="J2" t="s">
        <v>288</v>
      </c>
    </row>
    <row r="3" spans="1:15" ht="15.75" thickBot="1" x14ac:dyDescent="0.3">
      <c r="A3" s="95">
        <v>2</v>
      </c>
      <c r="B3" s="38">
        <v>44928</v>
      </c>
      <c r="C3">
        <v>80.050577237353068</v>
      </c>
      <c r="D3">
        <v>80</v>
      </c>
    </row>
    <row r="4" spans="1:15" x14ac:dyDescent="0.25">
      <c r="A4" s="95">
        <v>3</v>
      </c>
      <c r="B4" s="37">
        <v>44929</v>
      </c>
      <c r="C4">
        <v>80.161321681739125</v>
      </c>
      <c r="D4">
        <v>80.050577237353068</v>
      </c>
      <c r="E4">
        <v>80</v>
      </c>
      <c r="J4" s="113" t="s">
        <v>289</v>
      </c>
      <c r="K4" s="113"/>
    </row>
    <row r="5" spans="1:15" x14ac:dyDescent="0.25">
      <c r="A5" s="95">
        <v>4</v>
      </c>
      <c r="B5" s="38">
        <v>44930</v>
      </c>
      <c r="C5">
        <v>80.385043851121637</v>
      </c>
      <c r="D5">
        <v>80.161321681739125</v>
      </c>
      <c r="E5">
        <v>80.050577237353068</v>
      </c>
      <c r="F5">
        <v>80</v>
      </c>
      <c r="G5">
        <f>($K$19*D5)+($K$20*E5)+($K$21*F5)+$K$18</f>
        <v>80.275365487969282</v>
      </c>
      <c r="H5">
        <f>(G5-C5)^2</f>
        <v>1.2029343343779867E-2</v>
      </c>
      <c r="J5" t="s">
        <v>290</v>
      </c>
      <c r="K5" s="118">
        <v>0.9949291983295776</v>
      </c>
    </row>
    <row r="6" spans="1:15" x14ac:dyDescent="0.25">
      <c r="A6" s="95">
        <v>5</v>
      </c>
      <c r="B6" s="20">
        <v>44931</v>
      </c>
      <c r="C6">
        <v>80.497233359432073</v>
      </c>
      <c r="D6">
        <v>80.385043851121637</v>
      </c>
      <c r="E6">
        <v>80.161321681739125</v>
      </c>
      <c r="F6">
        <v>80.050577237353068</v>
      </c>
      <c r="G6">
        <f t="shared" ref="G6:G43" si="0">($K$19*D6)+($K$20*E6)+($K$21*F6)+$K$18</f>
        <v>80.478462590479594</v>
      </c>
      <c r="H6">
        <f t="shared" ref="H6:H32" si="1">(G6-C6)^2</f>
        <v>3.5234176706733206E-4</v>
      </c>
      <c r="J6" t="s">
        <v>291</v>
      </c>
      <c r="K6" s="119">
        <v>0.98988410968873597</v>
      </c>
    </row>
    <row r="7" spans="1:15" x14ac:dyDescent="0.25">
      <c r="A7" s="95">
        <v>6</v>
      </c>
      <c r="B7" s="20">
        <v>44932</v>
      </c>
      <c r="C7">
        <v>80.676946763845038</v>
      </c>
      <c r="D7">
        <v>80.497233359432073</v>
      </c>
      <c r="E7">
        <v>80.385043851121637</v>
      </c>
      <c r="F7">
        <v>80.161321681739125</v>
      </c>
      <c r="G7">
        <f t="shared" si="0"/>
        <v>80.591704502687548</v>
      </c>
      <c r="H7">
        <f t="shared" si="1"/>
        <v>7.2662430872416353E-3</v>
      </c>
      <c r="J7" t="s">
        <v>292</v>
      </c>
      <c r="K7">
        <v>0.98861962339982801</v>
      </c>
    </row>
    <row r="8" spans="1:15" x14ac:dyDescent="0.25">
      <c r="A8" s="95">
        <v>7</v>
      </c>
      <c r="B8" s="20">
        <v>44933</v>
      </c>
      <c r="C8">
        <v>80.67379389710095</v>
      </c>
      <c r="D8">
        <v>80.676946763845038</v>
      </c>
      <c r="E8">
        <v>80.497233359432073</v>
      </c>
      <c r="F8">
        <v>80.385043851121637</v>
      </c>
      <c r="G8">
        <f t="shared" si="0"/>
        <v>80.781356529944134</v>
      </c>
      <c r="H8">
        <f t="shared" si="1"/>
        <v>1.156971998415756E-2</v>
      </c>
      <c r="J8" t="s">
        <v>293</v>
      </c>
      <c r="K8">
        <v>0.10885576743911544</v>
      </c>
    </row>
    <row r="9" spans="1:15" ht="15.75" thickBot="1" x14ac:dyDescent="0.3">
      <c r="A9" s="95">
        <v>8</v>
      </c>
      <c r="B9" s="20">
        <v>44934</v>
      </c>
      <c r="C9">
        <v>80.844311440176995</v>
      </c>
      <c r="D9">
        <v>80.67379389710095</v>
      </c>
      <c r="E9">
        <v>80.676946763845038</v>
      </c>
      <c r="F9">
        <v>80.497233359432073</v>
      </c>
      <c r="G9">
        <f t="shared" si="0"/>
        <v>80.793814838978889</v>
      </c>
      <c r="H9">
        <f t="shared" si="1"/>
        <v>2.549906732560499E-3</v>
      </c>
      <c r="J9" s="8" t="s">
        <v>256</v>
      </c>
      <c r="K9" s="8">
        <v>28</v>
      </c>
    </row>
    <row r="10" spans="1:15" x14ac:dyDescent="0.25">
      <c r="A10" s="95">
        <v>9</v>
      </c>
      <c r="B10" s="20">
        <v>44935</v>
      </c>
      <c r="C10">
        <v>81.02402484458996</v>
      </c>
      <c r="D10">
        <v>80.844311440176995</v>
      </c>
      <c r="E10">
        <v>80.67379389710095</v>
      </c>
      <c r="F10">
        <v>80.676946763845038</v>
      </c>
      <c r="G10">
        <f t="shared" si="0"/>
        <v>80.969695722922978</v>
      </c>
      <c r="H10">
        <f t="shared" si="1"/>
        <v>2.9516534611056734E-3</v>
      </c>
    </row>
    <row r="11" spans="1:15" ht="15.75" thickBot="1" x14ac:dyDescent="0.3">
      <c r="A11" s="95">
        <v>10</v>
      </c>
      <c r="B11" s="20">
        <v>44936</v>
      </c>
      <c r="C11">
        <v>81.031381533659498</v>
      </c>
      <c r="D11">
        <v>81.02402484458996</v>
      </c>
      <c r="E11">
        <v>80.844311440176995</v>
      </c>
      <c r="F11">
        <v>80.67379389710095</v>
      </c>
      <c r="G11">
        <f t="shared" si="0"/>
        <v>81.125968602683429</v>
      </c>
      <c r="H11">
        <f t="shared" si="1"/>
        <v>8.9467136265377594E-3</v>
      </c>
      <c r="J11" t="s">
        <v>294</v>
      </c>
    </row>
    <row r="12" spans="1:15" x14ac:dyDescent="0.25">
      <c r="A12" s="95">
        <v>11</v>
      </c>
      <c r="B12" s="20">
        <v>44937</v>
      </c>
      <c r="C12">
        <v>81.014828983253039</v>
      </c>
      <c r="D12">
        <v>81.031381533659498</v>
      </c>
      <c r="E12">
        <v>81.02402484458996</v>
      </c>
      <c r="F12">
        <v>80.844311440176995</v>
      </c>
      <c r="G12">
        <f t="shared" si="0"/>
        <v>81.156143240344804</v>
      </c>
      <c r="H12">
        <f t="shared" si="1"/>
        <v>1.9969719257397246E-2</v>
      </c>
      <c r="J12" s="79"/>
      <c r="K12" s="79" t="s">
        <v>258</v>
      </c>
      <c r="L12" s="79" t="s">
        <v>299</v>
      </c>
      <c r="M12" s="79" t="s">
        <v>300</v>
      </c>
      <c r="N12" s="79" t="s">
        <v>301</v>
      </c>
      <c r="O12" s="79" t="s">
        <v>302</v>
      </c>
    </row>
    <row r="13" spans="1:15" x14ac:dyDescent="0.25">
      <c r="A13" s="95">
        <v>12</v>
      </c>
      <c r="B13" s="20">
        <v>44938</v>
      </c>
      <c r="C13">
        <v>81.134900658423689</v>
      </c>
      <c r="D13">
        <v>81.014828983253039</v>
      </c>
      <c r="E13">
        <v>81.031381533659498</v>
      </c>
      <c r="F13">
        <v>81.02402484458996</v>
      </c>
      <c r="G13">
        <f t="shared" si="0"/>
        <v>81.167722895618553</v>
      </c>
      <c r="H13">
        <f t="shared" si="1"/>
        <v>1.0772992544759205E-3</v>
      </c>
      <c r="J13" t="s">
        <v>295</v>
      </c>
      <c r="K13">
        <v>3</v>
      </c>
      <c r="L13">
        <v>27.828793025219731</v>
      </c>
      <c r="M13">
        <v>9.2762643417399104</v>
      </c>
      <c r="N13">
        <v>782.83498870010965</v>
      </c>
      <c r="O13">
        <v>4.6053641174726221E-24</v>
      </c>
    </row>
    <row r="14" spans="1:15" x14ac:dyDescent="0.25">
      <c r="A14" s="95">
        <v>13</v>
      </c>
      <c r="B14" s="20">
        <v>44939</v>
      </c>
      <c r="C14">
        <v>81.239207999873898</v>
      </c>
      <c r="D14">
        <v>81.134900658423689</v>
      </c>
      <c r="E14">
        <v>81.014828983253039</v>
      </c>
      <c r="F14">
        <v>81.031381533659498</v>
      </c>
      <c r="G14">
        <f t="shared" si="0"/>
        <v>81.274311210131017</v>
      </c>
      <c r="H14">
        <f t="shared" si="1"/>
        <v>1.2322353703555467E-3</v>
      </c>
      <c r="J14" t="s">
        <v>296</v>
      </c>
      <c r="K14">
        <v>24</v>
      </c>
      <c r="L14">
        <v>0.28438987451421088</v>
      </c>
      <c r="M14">
        <v>1.1849578104758786E-2</v>
      </c>
    </row>
    <row r="15" spans="1:15" ht="15.75" thickBot="1" x14ac:dyDescent="0.3">
      <c r="A15" s="95">
        <v>14</v>
      </c>
      <c r="B15" s="20">
        <v>44940</v>
      </c>
      <c r="C15">
        <v>81.245645102809746</v>
      </c>
      <c r="D15">
        <v>81.239207999873898</v>
      </c>
      <c r="E15">
        <v>81.134900658423689</v>
      </c>
      <c r="F15">
        <v>81.014828983253039</v>
      </c>
      <c r="G15">
        <f t="shared" si="0"/>
        <v>81.362741131933745</v>
      </c>
      <c r="H15">
        <f t="shared" si="1"/>
        <v>1.3711480036608492E-2</v>
      </c>
      <c r="J15" s="8" t="s">
        <v>297</v>
      </c>
      <c r="K15" s="8">
        <v>27</v>
      </c>
      <c r="L15" s="8">
        <v>28.113182899733943</v>
      </c>
      <c r="M15" s="8"/>
      <c r="N15" s="8"/>
      <c r="O15" s="8"/>
    </row>
    <row r="16" spans="1:15" ht="15.75" thickBot="1" x14ac:dyDescent="0.3">
      <c r="A16" s="95">
        <v>15</v>
      </c>
      <c r="B16" s="20">
        <v>44941</v>
      </c>
      <c r="C16">
        <v>81.496823486755346</v>
      </c>
      <c r="D16">
        <v>81.245645102809746</v>
      </c>
      <c r="E16">
        <v>81.239207999873898</v>
      </c>
      <c r="F16">
        <v>81.134900658423689</v>
      </c>
      <c r="G16">
        <f t="shared" si="0"/>
        <v>81.385228776627017</v>
      </c>
      <c r="H16">
        <f t="shared" si="1"/>
        <v>1.2453379328625924E-2</v>
      </c>
    </row>
    <row r="17" spans="1:18" x14ac:dyDescent="0.25">
      <c r="A17" s="95">
        <v>16</v>
      </c>
      <c r="B17" s="20">
        <v>44942</v>
      </c>
      <c r="C17">
        <v>81.756934993142522</v>
      </c>
      <c r="D17">
        <v>81.496823486755346</v>
      </c>
      <c r="E17">
        <v>81.245645102809746</v>
      </c>
      <c r="F17">
        <v>81.239207999873898</v>
      </c>
      <c r="G17">
        <f t="shared" si="0"/>
        <v>81.620891161239385</v>
      </c>
      <c r="H17">
        <f t="shared" si="1"/>
        <v>1.8507924198889105E-2</v>
      </c>
      <c r="J17" s="79"/>
      <c r="K17" s="79" t="s">
        <v>303</v>
      </c>
      <c r="L17" s="79" t="s">
        <v>293</v>
      </c>
      <c r="M17" s="79" t="s">
        <v>259</v>
      </c>
      <c r="N17" s="79" t="s">
        <v>304</v>
      </c>
      <c r="O17" s="79" t="s">
        <v>305</v>
      </c>
      <c r="P17" s="79" t="s">
        <v>306</v>
      </c>
      <c r="Q17" s="79" t="s">
        <v>307</v>
      </c>
      <c r="R17" s="79" t="s">
        <v>308</v>
      </c>
    </row>
    <row r="18" spans="1:18" x14ac:dyDescent="0.25">
      <c r="A18" s="95">
        <v>17</v>
      </c>
      <c r="B18" s="20">
        <v>44943</v>
      </c>
      <c r="C18">
        <v>81.95963805089778</v>
      </c>
      <c r="D18">
        <v>81.756934993142522</v>
      </c>
      <c r="E18">
        <v>81.496823486755346</v>
      </c>
      <c r="F18">
        <v>81.245645102809746</v>
      </c>
      <c r="G18">
        <f t="shared" si="0"/>
        <v>81.848649837444924</v>
      </c>
      <c r="H18">
        <f t="shared" si="1"/>
        <v>1.2318383525456757E-2</v>
      </c>
      <c r="J18" t="s">
        <v>298</v>
      </c>
      <c r="K18" s="117">
        <v>-1.2543546315553122</v>
      </c>
      <c r="L18">
        <v>1.8618133639761678</v>
      </c>
      <c r="M18">
        <v>-0.67372737559282481</v>
      </c>
      <c r="N18">
        <v>0.50692190956230609</v>
      </c>
      <c r="O18">
        <v>-5.0969485554855609</v>
      </c>
      <c r="P18">
        <v>2.588239292374936</v>
      </c>
      <c r="Q18">
        <v>-5.0969485554855609</v>
      </c>
      <c r="R18">
        <v>2.588239292374936</v>
      </c>
    </row>
    <row r="19" spans="1:18" x14ac:dyDescent="0.25">
      <c r="A19" s="95">
        <v>18</v>
      </c>
      <c r="B19" s="20">
        <v>44944</v>
      </c>
      <c r="C19">
        <v>81.886465268545422</v>
      </c>
      <c r="D19">
        <v>81.95963805089778</v>
      </c>
      <c r="E19">
        <v>81.756934993142522</v>
      </c>
      <c r="F19">
        <v>81.496823486755346</v>
      </c>
      <c r="G19">
        <f t="shared" si="0"/>
        <v>82.06157407127219</v>
      </c>
      <c r="H19">
        <f t="shared" si="1"/>
        <v>3.0663092792402303E-2</v>
      </c>
      <c r="J19" t="s">
        <v>312</v>
      </c>
      <c r="K19" s="114">
        <v>0.87794229104003074</v>
      </c>
      <c r="L19">
        <v>0.2118684554531613</v>
      </c>
      <c r="M19">
        <v>4.1438084266117725</v>
      </c>
      <c r="N19" s="114">
        <v>3.6614079320850624E-4</v>
      </c>
      <c r="O19">
        <v>0.44066729057589976</v>
      </c>
      <c r="P19">
        <v>1.3152172915041618</v>
      </c>
      <c r="Q19">
        <v>0.44066729057589976</v>
      </c>
      <c r="R19">
        <v>1.3152172915041618</v>
      </c>
    </row>
    <row r="20" spans="1:18" x14ac:dyDescent="0.25">
      <c r="A20" s="95">
        <v>19</v>
      </c>
      <c r="B20" s="20">
        <v>44945</v>
      </c>
      <c r="C20">
        <v>81.974220059589186</v>
      </c>
      <c r="D20">
        <v>81.886465268545422</v>
      </c>
      <c r="E20">
        <v>81.95963805089778</v>
      </c>
      <c r="F20">
        <v>81.756934993142522</v>
      </c>
      <c r="G20">
        <f t="shared" si="0"/>
        <v>82.03394767268621</v>
      </c>
      <c r="H20">
        <f t="shared" si="1"/>
        <v>3.5673877662678343E-3</v>
      </c>
      <c r="J20" t="s">
        <v>313</v>
      </c>
      <c r="K20" s="115">
        <v>-6.1355793128945258E-3</v>
      </c>
      <c r="L20">
        <v>0.28545361599850716</v>
      </c>
      <c r="M20">
        <v>-2.1494137642756688E-2</v>
      </c>
      <c r="N20" s="115">
        <v>0.98302918653186167</v>
      </c>
      <c r="O20">
        <v>-0.5952828867837322</v>
      </c>
      <c r="P20">
        <v>0.58301172815794311</v>
      </c>
      <c r="Q20">
        <v>-0.5952828867837322</v>
      </c>
      <c r="R20">
        <v>0.58301172815794311</v>
      </c>
    </row>
    <row r="21" spans="1:18" ht="15.75" thickBot="1" x14ac:dyDescent="0.3">
      <c r="A21" s="95">
        <v>20</v>
      </c>
      <c r="B21" s="20">
        <v>44946</v>
      </c>
      <c r="C21">
        <v>81.99523917121644</v>
      </c>
      <c r="D21">
        <v>81.974220059589186</v>
      </c>
      <c r="E21">
        <v>81.886465268545422</v>
      </c>
      <c r="F21">
        <v>81.95963805089778</v>
      </c>
      <c r="G21">
        <f t="shared" si="0"/>
        <v>82.140943353738621</v>
      </c>
      <c r="H21">
        <f t="shared" si="1"/>
        <v>2.1229708804456966E-2</v>
      </c>
      <c r="J21" s="8" t="s">
        <v>314</v>
      </c>
      <c r="K21" s="116">
        <v>0.14554827968930531</v>
      </c>
      <c r="L21" s="8">
        <v>0.21708185371051672</v>
      </c>
      <c r="M21" s="8">
        <v>0.67047649170804047</v>
      </c>
      <c r="N21" s="116">
        <v>0.50895516269039165</v>
      </c>
      <c r="O21" s="8">
        <v>-0.30248664593937558</v>
      </c>
      <c r="P21" s="8">
        <v>0.59358320531798625</v>
      </c>
      <c r="Q21" s="8">
        <v>-0.30248664593937558</v>
      </c>
      <c r="R21" s="8">
        <v>0.59358320531798625</v>
      </c>
    </row>
    <row r="22" spans="1:18" x14ac:dyDescent="0.25">
      <c r="A22" s="95">
        <v>21</v>
      </c>
      <c r="B22" s="20">
        <v>44947</v>
      </c>
      <c r="C22">
        <v>82.084044917841567</v>
      </c>
      <c r="D22">
        <v>81.99523917121644</v>
      </c>
      <c r="E22">
        <v>81.974220059589186</v>
      </c>
      <c r="F22">
        <v>81.886465268545422</v>
      </c>
      <c r="G22">
        <f t="shared" si="0"/>
        <v>82.14820832168428</v>
      </c>
      <c r="H22">
        <f t="shared" si="1"/>
        <v>4.1169423926830512E-3</v>
      </c>
    </row>
    <row r="23" spans="1:18" x14ac:dyDescent="0.25">
      <c r="A23" s="95">
        <v>22</v>
      </c>
      <c r="B23" s="20">
        <v>44948</v>
      </c>
      <c r="C23">
        <v>82.390529839256359</v>
      </c>
      <c r="D23">
        <v>82.084044917841567</v>
      </c>
      <c r="E23">
        <v>81.99523917121644</v>
      </c>
      <c r="F23">
        <v>81.974220059589186</v>
      </c>
      <c r="G23">
        <f t="shared" si="0"/>
        <v>82.238818236778286</v>
      </c>
      <c r="H23">
        <f t="shared" si="1"/>
        <v>2.3016410326464953E-2</v>
      </c>
    </row>
    <row r="24" spans="1:18" x14ac:dyDescent="0.25">
      <c r="A24" s="95">
        <v>23</v>
      </c>
      <c r="B24" s="20">
        <v>44949</v>
      </c>
      <c r="C24">
        <v>82.414570448180029</v>
      </c>
      <c r="D24">
        <v>82.390529839256359</v>
      </c>
      <c r="E24">
        <v>82.084044917841567</v>
      </c>
      <c r="F24">
        <v>81.99523917121644</v>
      </c>
      <c r="G24">
        <f t="shared" si="0"/>
        <v>82.510408731690504</v>
      </c>
      <c r="H24">
        <f t="shared" si="1"/>
        <v>9.1849765862340501E-3</v>
      </c>
    </row>
    <row r="25" spans="1:18" x14ac:dyDescent="0.25">
      <c r="A25" s="95">
        <v>24</v>
      </c>
      <c r="B25" s="20">
        <v>44950</v>
      </c>
      <c r="C25">
        <v>82.638029878667197</v>
      </c>
      <c r="D25">
        <v>82.414570448180029</v>
      </c>
      <c r="E25">
        <v>82.390529839256359</v>
      </c>
      <c r="F25">
        <v>82.084044917841567</v>
      </c>
      <c r="G25">
        <f t="shared" si="0"/>
        <v>82.542560060071224</v>
      </c>
      <c r="H25">
        <f t="shared" si="1"/>
        <v>9.1144862627479551E-3</v>
      </c>
    </row>
    <row r="26" spans="1:18" x14ac:dyDescent="0.25">
      <c r="A26" s="95">
        <v>25</v>
      </c>
      <c r="B26" s="20">
        <v>44951</v>
      </c>
      <c r="C26">
        <v>82.766771937384078</v>
      </c>
      <c r="D26">
        <v>82.638029878667197</v>
      </c>
      <c r="E26">
        <v>82.414570448180029</v>
      </c>
      <c r="F26">
        <v>82.390529839256359</v>
      </c>
      <c r="G26">
        <f t="shared" si="0"/>
        <v>82.783205394427455</v>
      </c>
      <c r="H26">
        <f t="shared" si="1"/>
        <v>2.7005851039650462E-4</v>
      </c>
    </row>
    <row r="27" spans="1:18" x14ac:dyDescent="0.25">
      <c r="A27" s="95">
        <v>26</v>
      </c>
      <c r="B27" s="20">
        <v>44952</v>
      </c>
      <c r="C27">
        <v>82.861620678602037</v>
      </c>
      <c r="D27">
        <v>82.766771937384078</v>
      </c>
      <c r="E27">
        <v>82.638029878667197</v>
      </c>
      <c r="F27">
        <v>82.414570448180029</v>
      </c>
      <c r="G27">
        <f t="shared" si="0"/>
        <v>82.89836150862314</v>
      </c>
      <c r="H27">
        <f t="shared" si="1"/>
        <v>1.3498885906395475E-3</v>
      </c>
    </row>
    <row r="28" spans="1:18" x14ac:dyDescent="0.25">
      <c r="A28" s="95">
        <v>27</v>
      </c>
      <c r="B28" s="20">
        <v>44953</v>
      </c>
      <c r="C28">
        <v>83.145641424465211</v>
      </c>
      <c r="D28">
        <v>82.861620678602037</v>
      </c>
      <c r="E28">
        <v>82.766771937384078</v>
      </c>
      <c r="F28">
        <v>82.638029878667197</v>
      </c>
      <c r="G28">
        <f t="shared" si="0"/>
        <v>83.013367458365892</v>
      </c>
      <c r="H28">
        <f t="shared" si="1"/>
        <v>1.7496402107643871E-2</v>
      </c>
    </row>
    <row r="29" spans="1:18" x14ac:dyDescent="0.25">
      <c r="A29" s="95">
        <v>28</v>
      </c>
      <c r="B29" s="20">
        <v>44954</v>
      </c>
      <c r="C29">
        <v>83.285287147338735</v>
      </c>
      <c r="D29">
        <v>83.145641424465211</v>
      </c>
      <c r="E29">
        <v>82.861620678602037</v>
      </c>
      <c r="F29">
        <v>82.766771937384078</v>
      </c>
      <c r="G29">
        <f t="shared" si="0"/>
        <v>83.28087751588734</v>
      </c>
      <c r="H29">
        <f t="shared" si="1"/>
        <v>1.944484953713248E-5</v>
      </c>
    </row>
    <row r="30" spans="1:18" x14ac:dyDescent="0.25">
      <c r="A30" s="95">
        <v>29</v>
      </c>
      <c r="B30" s="20">
        <v>44955</v>
      </c>
      <c r="C30">
        <v>83.547631934336309</v>
      </c>
      <c r="D30">
        <v>83.285287147338735</v>
      </c>
      <c r="E30">
        <v>83.145641424465211</v>
      </c>
      <c r="F30">
        <v>82.861620678602037</v>
      </c>
      <c r="G30">
        <f t="shared" si="0"/>
        <v>83.415540841063091</v>
      </c>
      <c r="H30">
        <f t="shared" si="1"/>
        <v>1.7448056922113861E-2</v>
      </c>
    </row>
    <row r="31" spans="1:18" x14ac:dyDescent="0.25">
      <c r="A31" s="95">
        <v>30</v>
      </c>
      <c r="B31" s="20">
        <v>44956</v>
      </c>
      <c r="C31">
        <v>83.749546775405548</v>
      </c>
      <c r="D31">
        <v>83.547631934336309</v>
      </c>
      <c r="E31">
        <v>83.285287147338735</v>
      </c>
      <c r="F31">
        <v>83.145641424465211</v>
      </c>
      <c r="G31">
        <f t="shared" si="0"/>
        <v>83.686346347950192</v>
      </c>
      <c r="H31">
        <f t="shared" si="1"/>
        <v>3.994294030539791E-3</v>
      </c>
    </row>
    <row r="32" spans="1:18" ht="15.75" thickBot="1" x14ac:dyDescent="0.3">
      <c r="A32" s="95">
        <v>31</v>
      </c>
      <c r="B32" s="20">
        <v>44957</v>
      </c>
      <c r="C32">
        <v>83.748233080928841</v>
      </c>
      <c r="D32">
        <v>83.749546775405548</v>
      </c>
      <c r="E32">
        <v>83.547631934336309</v>
      </c>
      <c r="F32">
        <v>83.285287147338735</v>
      </c>
      <c r="G32">
        <f t="shared" si="0"/>
        <v>83.882331483595777</v>
      </c>
      <c r="H32">
        <f t="shared" si="1"/>
        <v>1.7982381597823727E-2</v>
      </c>
      <c r="J32" s="120" t="s">
        <v>315</v>
      </c>
      <c r="K32" s="120">
        <f>AVERAGE(H5:H32)</f>
        <v>1.0156781232650389E-2</v>
      </c>
    </row>
    <row r="33" spans="1:8" ht="15.75" thickBot="1" x14ac:dyDescent="0.3">
      <c r="A33" s="151">
        <v>32</v>
      </c>
      <c r="B33" s="152">
        <v>44958</v>
      </c>
      <c r="C33" s="153"/>
      <c r="D33" s="154">
        <v>83.748233080928841</v>
      </c>
      <c r="E33" s="154">
        <v>83.749546775405548</v>
      </c>
      <c r="F33" s="154">
        <v>83.547631934336309</v>
      </c>
      <c r="G33" s="154">
        <f t="shared" si="0"/>
        <v>83.918123103568291</v>
      </c>
      <c r="H33" s="155"/>
    </row>
    <row r="34" spans="1:8" ht="15.75" thickBot="1" x14ac:dyDescent="0.3">
      <c r="A34" s="158"/>
      <c r="B34" s="161"/>
      <c r="C34" s="153"/>
      <c r="D34" s="166"/>
      <c r="E34" s="166"/>
      <c r="F34" s="166"/>
      <c r="G34" s="163"/>
      <c r="H34" s="156"/>
    </row>
    <row r="35" spans="1:8" ht="15.75" thickBot="1" x14ac:dyDescent="0.3">
      <c r="A35" s="158"/>
      <c r="B35" s="161"/>
      <c r="C35" s="153"/>
      <c r="D35" s="166"/>
      <c r="E35" s="166"/>
      <c r="F35" s="166"/>
      <c r="G35" s="163"/>
      <c r="H35" s="156"/>
    </row>
    <row r="36" spans="1:8" ht="15.75" thickBot="1" x14ac:dyDescent="0.3">
      <c r="A36" s="158"/>
      <c r="B36" s="161"/>
      <c r="C36" s="153"/>
      <c r="D36" s="166"/>
      <c r="E36" s="166"/>
      <c r="F36" s="166"/>
      <c r="G36" s="163"/>
      <c r="H36" s="156"/>
    </row>
    <row r="37" spans="1:8" ht="15.75" thickBot="1" x14ac:dyDescent="0.3">
      <c r="A37" s="158"/>
      <c r="B37" s="161"/>
      <c r="C37" s="153"/>
      <c r="D37" s="166"/>
      <c r="E37" s="166"/>
      <c r="F37" s="166"/>
      <c r="G37" s="163"/>
      <c r="H37" s="156"/>
    </row>
    <row r="38" spans="1:8" ht="15.75" thickBot="1" x14ac:dyDescent="0.3">
      <c r="A38" s="158"/>
      <c r="B38" s="161"/>
      <c r="C38" s="153"/>
      <c r="D38" s="166"/>
      <c r="E38" s="166"/>
      <c r="F38" s="166"/>
      <c r="G38" s="163"/>
      <c r="H38" s="156"/>
    </row>
    <row r="39" spans="1:8" ht="15.75" thickBot="1" x14ac:dyDescent="0.3">
      <c r="A39" s="158"/>
      <c r="B39" s="161"/>
      <c r="C39" s="153"/>
      <c r="D39" s="166"/>
      <c r="E39" s="166"/>
      <c r="F39" s="166"/>
      <c r="G39" s="163"/>
      <c r="H39" s="156"/>
    </row>
    <row r="40" spans="1:8" ht="15.75" thickBot="1" x14ac:dyDescent="0.3">
      <c r="A40" s="158"/>
      <c r="B40" s="161"/>
      <c r="C40" s="153"/>
      <c r="D40" s="166"/>
      <c r="E40" s="166"/>
      <c r="F40" s="166"/>
      <c r="G40" s="163"/>
      <c r="H40" s="156"/>
    </row>
    <row r="41" spans="1:8" ht="15.75" thickBot="1" x14ac:dyDescent="0.3">
      <c r="A41" s="158"/>
      <c r="B41" s="161"/>
      <c r="C41" s="153"/>
      <c r="D41" s="166"/>
      <c r="E41" s="166"/>
      <c r="F41" s="166"/>
      <c r="G41" s="163"/>
      <c r="H41" s="156"/>
    </row>
    <row r="42" spans="1:8" ht="15.75" thickBot="1" x14ac:dyDescent="0.3">
      <c r="A42" s="158"/>
      <c r="B42" s="161"/>
      <c r="C42" s="153"/>
      <c r="D42" s="166"/>
      <c r="E42" s="166"/>
      <c r="F42" s="166"/>
      <c r="G42" s="163"/>
      <c r="H42" s="156"/>
    </row>
    <row r="43" spans="1:8" ht="15.75" thickBot="1" x14ac:dyDescent="0.3">
      <c r="A43" s="160"/>
      <c r="B43" s="162"/>
      <c r="C43" s="159"/>
      <c r="D43" s="8"/>
      <c r="E43" s="8"/>
      <c r="F43" s="8"/>
      <c r="G43" s="164"/>
      <c r="H43" s="157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BFAD7-DB69-4350-A5CE-4B50BB9D3B62}">
  <sheetPr codeName="Sheet14"/>
  <dimension ref="A5:P95"/>
  <sheetViews>
    <sheetView topLeftCell="B1" zoomScale="75" zoomScaleNormal="75" workbookViewId="0">
      <selection activeCell="D31" sqref="D31"/>
    </sheetView>
  </sheetViews>
  <sheetFormatPr defaultRowHeight="15" x14ac:dyDescent="0.25"/>
  <cols>
    <col min="1" max="1" width="7.140625" customWidth="1"/>
    <col min="2" max="2" width="18" bestFit="1" customWidth="1"/>
    <col min="3" max="3" width="14" customWidth="1"/>
    <col min="4" max="4" width="17.85546875" bestFit="1" customWidth="1"/>
    <col min="5" max="5" width="27.5703125" bestFit="1" customWidth="1"/>
    <col min="6" max="6" width="32.42578125" bestFit="1" customWidth="1"/>
    <col min="7" max="7" width="27.5703125" bestFit="1" customWidth="1"/>
    <col min="8" max="8" width="32.42578125" bestFit="1" customWidth="1"/>
    <col min="9" max="9" width="12.7109375" customWidth="1"/>
    <col min="14" max="14" width="22.28515625" bestFit="1" customWidth="1"/>
    <col min="15" max="15" width="17.140625" bestFit="1" customWidth="1"/>
    <col min="16" max="16" width="15.28515625" customWidth="1"/>
  </cols>
  <sheetData>
    <row r="5" spans="1:16" x14ac:dyDescent="0.25">
      <c r="A5" s="93" t="s">
        <v>204</v>
      </c>
      <c r="B5" s="93" t="s">
        <v>131</v>
      </c>
      <c r="C5" s="94" t="s">
        <v>200</v>
      </c>
      <c r="D5" s="111" t="s">
        <v>283</v>
      </c>
      <c r="E5" s="111" t="s">
        <v>284</v>
      </c>
      <c r="F5" s="111" t="s">
        <v>285</v>
      </c>
      <c r="G5" s="83" t="s">
        <v>287</v>
      </c>
      <c r="H5" s="126" t="s">
        <v>316</v>
      </c>
      <c r="I5" s="86" t="s">
        <v>317</v>
      </c>
      <c r="N5" s="84" t="s">
        <v>320</v>
      </c>
      <c r="O5" s="126" t="s">
        <v>321</v>
      </c>
      <c r="P5" s="86" t="s">
        <v>322</v>
      </c>
    </row>
    <row r="6" spans="1:16" ht="15.75" thickBot="1" x14ac:dyDescent="0.3">
      <c r="A6">
        <v>1</v>
      </c>
      <c r="B6" s="37">
        <v>44927</v>
      </c>
      <c r="C6">
        <v>80</v>
      </c>
      <c r="H6" s="123"/>
      <c r="I6" s="123"/>
      <c r="K6" s="165" t="s">
        <v>323</v>
      </c>
      <c r="L6" s="165"/>
      <c r="M6" s="127" t="s">
        <v>324</v>
      </c>
      <c r="N6">
        <f>AVERAGE(N9:N36)</f>
        <v>1.0156781232650389E-2</v>
      </c>
      <c r="O6">
        <f ca="1">AVERAGE(O9:O36)</f>
        <v>8.0982574988393993E-2</v>
      </c>
      <c r="P6">
        <f ca="1">AVERAGE(P9:P36)</f>
        <v>2.7863229671584656E-2</v>
      </c>
    </row>
    <row r="7" spans="1:16" ht="15.75" thickBot="1" x14ac:dyDescent="0.3">
      <c r="A7">
        <v>2</v>
      </c>
      <c r="B7" s="38">
        <v>44928</v>
      </c>
      <c r="C7">
        <v>80.050577237353068</v>
      </c>
      <c r="D7">
        <v>80</v>
      </c>
      <c r="H7" s="123"/>
      <c r="I7" s="123"/>
      <c r="K7" s="128" t="s">
        <v>318</v>
      </c>
      <c r="L7" s="124">
        <v>0.5</v>
      </c>
    </row>
    <row r="8" spans="1:16" x14ac:dyDescent="0.25">
      <c r="A8">
        <v>3</v>
      </c>
      <c r="B8" s="37">
        <v>44929</v>
      </c>
      <c r="C8">
        <v>80.161321681739125</v>
      </c>
      <c r="D8">
        <v>80.050577237353068</v>
      </c>
      <c r="E8">
        <v>80</v>
      </c>
      <c r="H8" s="123"/>
      <c r="I8" s="123"/>
      <c r="K8" s="125" t="s">
        <v>319</v>
      </c>
      <c r="L8" s="124">
        <f>1-L7</f>
        <v>0.5</v>
      </c>
    </row>
    <row r="9" spans="1:16" x14ac:dyDescent="0.25">
      <c r="A9">
        <v>4</v>
      </c>
      <c r="B9" s="38">
        <v>44930</v>
      </c>
      <c r="C9">
        <v>80.385043851121637</v>
      </c>
      <c r="D9">
        <v>80.161321681739125</v>
      </c>
      <c r="E9">
        <v>80.050577237353068</v>
      </c>
      <c r="F9">
        <v>80</v>
      </c>
      <c r="G9">
        <v>80.275365487969282</v>
      </c>
      <c r="H9">
        <f t="shared" ref="H9:H36" ca="1" si="0">AVERAGE(OFFSET(C8,0,0,-3))</f>
        <v>80.07063297303074</v>
      </c>
      <c r="I9">
        <f t="shared" ref="I9:I36" ca="1" si="1">($L$7*G9)+($L$8*H9)</f>
        <v>80.172999230500011</v>
      </c>
      <c r="N9">
        <f t="shared" ref="N9:N36" si="2">(G9-C9)^2</f>
        <v>1.2029343343779867E-2</v>
      </c>
      <c r="O9">
        <f t="shared" ref="O9:O36" ca="1" si="3">(H9-C9)^2</f>
        <v>9.8854200261888597E-2</v>
      </c>
      <c r="P9">
        <f t="shared" ref="P9:P36" ca="1" si="4">(I9-C9)^2</f>
        <v>4.4962921134569199E-2</v>
      </c>
    </row>
    <row r="10" spans="1:16" x14ac:dyDescent="0.25">
      <c r="A10">
        <v>5</v>
      </c>
      <c r="B10" s="37">
        <v>44931</v>
      </c>
      <c r="C10">
        <v>80.497233359432073</v>
      </c>
      <c r="D10">
        <v>80.385043851121637</v>
      </c>
      <c r="E10">
        <v>80.161321681739125</v>
      </c>
      <c r="F10">
        <v>80.050577237353068</v>
      </c>
      <c r="G10">
        <v>80.478462590479594</v>
      </c>
      <c r="H10">
        <f t="shared" ca="1" si="0"/>
        <v>80.198980923404619</v>
      </c>
      <c r="I10">
        <f t="shared" ca="1" si="1"/>
        <v>80.338721756942107</v>
      </c>
      <c r="N10">
        <f t="shared" si="2"/>
        <v>3.5234176706733206E-4</v>
      </c>
      <c r="O10">
        <f t="shared" ca="1" si="3"/>
        <v>8.8954515596310471E-2</v>
      </c>
      <c r="P10">
        <f t="shared" ca="1" si="4"/>
        <v>2.5125928123937061E-2</v>
      </c>
    </row>
    <row r="11" spans="1:16" x14ac:dyDescent="0.25">
      <c r="A11">
        <v>6</v>
      </c>
      <c r="B11" s="38">
        <v>44932</v>
      </c>
      <c r="C11">
        <v>80.676946763845038</v>
      </c>
      <c r="D11">
        <v>80.497233359432073</v>
      </c>
      <c r="E11">
        <v>80.385043851121637</v>
      </c>
      <c r="F11">
        <v>80.161321681739125</v>
      </c>
      <c r="G11">
        <v>80.591704502687548</v>
      </c>
      <c r="H11">
        <f t="shared" ca="1" si="0"/>
        <v>80.34786629743094</v>
      </c>
      <c r="I11">
        <f t="shared" ca="1" si="1"/>
        <v>80.469785400059237</v>
      </c>
      <c r="N11">
        <f t="shared" si="2"/>
        <v>7.2662430872416353E-3</v>
      </c>
      <c r="O11">
        <f t="shared" ca="1" si="3"/>
        <v>0.10829395337532016</v>
      </c>
      <c r="P11">
        <f t="shared" ca="1" si="4"/>
        <v>4.291583064559288E-2</v>
      </c>
    </row>
    <row r="12" spans="1:16" x14ac:dyDescent="0.25">
      <c r="A12">
        <v>7</v>
      </c>
      <c r="B12" s="37">
        <v>44933</v>
      </c>
      <c r="C12">
        <v>80.67379389710095</v>
      </c>
      <c r="D12">
        <v>80.676946763845038</v>
      </c>
      <c r="E12">
        <v>80.497233359432073</v>
      </c>
      <c r="F12">
        <v>80.385043851121637</v>
      </c>
      <c r="G12">
        <v>80.781356529944134</v>
      </c>
      <c r="H12">
        <f t="shared" ca="1" si="0"/>
        <v>80.519741324799568</v>
      </c>
      <c r="I12">
        <f t="shared" ca="1" si="1"/>
        <v>80.650548927371858</v>
      </c>
      <c r="N12">
        <f t="shared" si="2"/>
        <v>1.156971998415756E-2</v>
      </c>
      <c r="O12">
        <f t="shared" ca="1" si="3"/>
        <v>2.3732195032672366E-2</v>
      </c>
      <c r="P12">
        <f t="shared" ca="1" si="4"/>
        <v>5.403286177063911E-4</v>
      </c>
    </row>
    <row r="13" spans="1:16" x14ac:dyDescent="0.25">
      <c r="A13">
        <v>8</v>
      </c>
      <c r="B13" s="38">
        <v>44934</v>
      </c>
      <c r="C13">
        <v>80.844311440176995</v>
      </c>
      <c r="D13">
        <v>80.67379389710095</v>
      </c>
      <c r="E13">
        <v>80.676946763845038</v>
      </c>
      <c r="F13">
        <v>80.497233359432073</v>
      </c>
      <c r="G13">
        <v>80.793814838978889</v>
      </c>
      <c r="H13">
        <f t="shared" ca="1" si="0"/>
        <v>80.615991340126016</v>
      </c>
      <c r="I13">
        <f t="shared" ca="1" si="1"/>
        <v>80.70490308955246</v>
      </c>
      <c r="N13">
        <f t="shared" si="2"/>
        <v>2.549906732560499E-3</v>
      </c>
      <c r="O13">
        <f t="shared" ca="1" si="3"/>
        <v>5.2130068087289122E-2</v>
      </c>
      <c r="P13">
        <f t="shared" ca="1" si="4"/>
        <v>1.9434688223853334E-2</v>
      </c>
    </row>
    <row r="14" spans="1:16" x14ac:dyDescent="0.25">
      <c r="A14">
        <v>9</v>
      </c>
      <c r="B14" s="37">
        <v>44935</v>
      </c>
      <c r="C14">
        <v>81.02402484458996</v>
      </c>
      <c r="D14">
        <v>80.844311440176995</v>
      </c>
      <c r="E14">
        <v>80.67379389710095</v>
      </c>
      <c r="F14">
        <v>80.676946763845038</v>
      </c>
      <c r="G14">
        <v>80.969695722922978</v>
      </c>
      <c r="H14">
        <f t="shared" ca="1" si="0"/>
        <v>80.731684033707651</v>
      </c>
      <c r="I14">
        <f t="shared" ca="1" si="1"/>
        <v>80.850689878315308</v>
      </c>
      <c r="N14">
        <f t="shared" si="2"/>
        <v>2.9516534611056734E-3</v>
      </c>
      <c r="O14">
        <f t="shared" ca="1" si="3"/>
        <v>8.5463149707325506E-2</v>
      </c>
      <c r="P14">
        <f t="shared" ca="1" si="4"/>
        <v>3.0045010533434727E-2</v>
      </c>
    </row>
    <row r="15" spans="1:16" x14ac:dyDescent="0.25">
      <c r="A15">
        <v>10</v>
      </c>
      <c r="B15" s="38">
        <v>44936</v>
      </c>
      <c r="C15">
        <v>81.031381533659498</v>
      </c>
      <c r="D15">
        <v>81.02402484458996</v>
      </c>
      <c r="E15">
        <v>80.844311440176995</v>
      </c>
      <c r="F15">
        <v>80.67379389710095</v>
      </c>
      <c r="G15">
        <v>81.125968602683429</v>
      </c>
      <c r="H15">
        <f t="shared" ca="1" si="0"/>
        <v>80.847376727289301</v>
      </c>
      <c r="I15">
        <f t="shared" ca="1" si="1"/>
        <v>80.986672664986372</v>
      </c>
      <c r="N15">
        <f t="shared" si="2"/>
        <v>8.9467136265377594E-3</v>
      </c>
      <c r="O15">
        <f t="shared" ca="1" si="3"/>
        <v>3.3857768767333735E-2</v>
      </c>
      <c r="P15">
        <f t="shared" ca="1" si="4"/>
        <v>1.9988829380308535E-3</v>
      </c>
    </row>
    <row r="16" spans="1:16" x14ac:dyDescent="0.25">
      <c r="A16">
        <v>11</v>
      </c>
      <c r="B16" s="37">
        <v>44937</v>
      </c>
      <c r="C16">
        <v>81.014828983253039</v>
      </c>
      <c r="D16">
        <v>81.031381533659498</v>
      </c>
      <c r="E16">
        <v>81.02402484458996</v>
      </c>
      <c r="F16">
        <v>80.844311440176995</v>
      </c>
      <c r="G16">
        <v>81.156143240344804</v>
      </c>
      <c r="H16">
        <f t="shared" ca="1" si="0"/>
        <v>80.966572606142151</v>
      </c>
      <c r="I16">
        <f t="shared" ca="1" si="1"/>
        <v>81.061357923243477</v>
      </c>
      <c r="N16">
        <f t="shared" si="2"/>
        <v>1.9969719257397246E-2</v>
      </c>
      <c r="O16">
        <f t="shared" ca="1" si="3"/>
        <v>2.3286779318682925E-3</v>
      </c>
      <c r="P16">
        <f t="shared" ca="1" si="4"/>
        <v>2.164942256633765E-3</v>
      </c>
    </row>
    <row r="17" spans="1:16" x14ac:dyDescent="0.25">
      <c r="A17">
        <v>12</v>
      </c>
      <c r="B17" s="38">
        <v>44938</v>
      </c>
      <c r="C17">
        <v>81.134900658423689</v>
      </c>
      <c r="D17">
        <v>81.014828983253039</v>
      </c>
      <c r="E17">
        <v>81.031381533659498</v>
      </c>
      <c r="F17">
        <v>81.02402484458996</v>
      </c>
      <c r="G17">
        <v>81.167722895618553</v>
      </c>
      <c r="H17">
        <f t="shared" ca="1" si="0"/>
        <v>81.023411787167504</v>
      </c>
      <c r="I17">
        <f t="shared" ca="1" si="1"/>
        <v>81.095567341393036</v>
      </c>
      <c r="N17">
        <f t="shared" si="2"/>
        <v>1.0772992544759205E-3</v>
      </c>
      <c r="O17">
        <f t="shared" ca="1" si="3"/>
        <v>1.2429768413978196E-2</v>
      </c>
      <c r="P17">
        <f t="shared" ca="1" si="4"/>
        <v>1.5471098286338847E-3</v>
      </c>
    </row>
    <row r="18" spans="1:16" x14ac:dyDescent="0.25">
      <c r="A18">
        <v>13</v>
      </c>
      <c r="B18" s="37">
        <v>44939</v>
      </c>
      <c r="C18">
        <v>81.239207999873898</v>
      </c>
      <c r="D18">
        <v>81.134900658423689</v>
      </c>
      <c r="E18">
        <v>81.014828983253039</v>
      </c>
      <c r="F18">
        <v>81.031381533659498</v>
      </c>
      <c r="G18">
        <v>81.274311210131017</v>
      </c>
      <c r="H18">
        <f t="shared" ca="1" si="0"/>
        <v>81.060370391778747</v>
      </c>
      <c r="I18">
        <f t="shared" ca="1" si="1"/>
        <v>81.167340800954889</v>
      </c>
      <c r="N18">
        <f t="shared" si="2"/>
        <v>1.2322353703555467E-3</v>
      </c>
      <c r="O18">
        <f t="shared" ca="1" si="3"/>
        <v>3.1982890069194754E-2</v>
      </c>
      <c r="P18">
        <f t="shared" ca="1" si="4"/>
        <v>5.1648942804643364E-3</v>
      </c>
    </row>
    <row r="19" spans="1:16" x14ac:dyDescent="0.25">
      <c r="A19">
        <v>14</v>
      </c>
      <c r="B19" s="38">
        <v>44940</v>
      </c>
      <c r="C19">
        <v>81.245645102809746</v>
      </c>
      <c r="D19">
        <v>81.239207999873898</v>
      </c>
      <c r="E19">
        <v>81.134900658423689</v>
      </c>
      <c r="F19">
        <v>81.014828983253039</v>
      </c>
      <c r="G19">
        <v>81.362741131933745</v>
      </c>
      <c r="H19">
        <f t="shared" ca="1" si="0"/>
        <v>81.129645880516875</v>
      </c>
      <c r="I19">
        <f t="shared" ca="1" si="1"/>
        <v>81.24619350622531</v>
      </c>
      <c r="N19">
        <f t="shared" si="2"/>
        <v>1.3711480036608492E-2</v>
      </c>
      <c r="O19">
        <f t="shared" ca="1" si="3"/>
        <v>1.3455819572550841E-2</v>
      </c>
      <c r="P19">
        <f t="shared" ca="1" si="4"/>
        <v>3.0074630620256871E-7</v>
      </c>
    </row>
    <row r="20" spans="1:16" x14ac:dyDescent="0.25">
      <c r="A20">
        <v>15</v>
      </c>
      <c r="B20" s="37">
        <v>44941</v>
      </c>
      <c r="C20">
        <v>81.496823486755346</v>
      </c>
      <c r="D20">
        <v>81.245645102809746</v>
      </c>
      <c r="E20">
        <v>81.239207999873898</v>
      </c>
      <c r="F20">
        <v>81.134900658423689</v>
      </c>
      <c r="G20">
        <v>81.385228776627017</v>
      </c>
      <c r="H20">
        <f t="shared" ca="1" si="0"/>
        <v>81.206584587035778</v>
      </c>
      <c r="I20">
        <f t="shared" ca="1" si="1"/>
        <v>81.295906681831397</v>
      </c>
      <c r="N20">
        <f t="shared" si="2"/>
        <v>1.2453379328625924E-2</v>
      </c>
      <c r="O20">
        <f t="shared" ca="1" si="3"/>
        <v>8.4238618910425805E-2</v>
      </c>
      <c r="P20">
        <f t="shared" ca="1" si="4"/>
        <v>4.0367562500848234E-2</v>
      </c>
    </row>
    <row r="21" spans="1:16" x14ac:dyDescent="0.25">
      <c r="A21">
        <v>16</v>
      </c>
      <c r="B21" s="38">
        <v>44942</v>
      </c>
      <c r="C21">
        <v>81.756934993142522</v>
      </c>
      <c r="D21">
        <v>81.496823486755346</v>
      </c>
      <c r="E21">
        <v>81.245645102809746</v>
      </c>
      <c r="F21">
        <v>81.239207999873898</v>
      </c>
      <c r="G21">
        <v>81.620891161239385</v>
      </c>
      <c r="H21">
        <f t="shared" ca="1" si="0"/>
        <v>81.327225529812992</v>
      </c>
      <c r="I21">
        <f t="shared" ca="1" si="1"/>
        <v>81.474058345526188</v>
      </c>
      <c r="N21">
        <f t="shared" si="2"/>
        <v>1.8507924198889105E-2</v>
      </c>
      <c r="O21">
        <f t="shared" ca="1" si="3"/>
        <v>0.18465022287495286</v>
      </c>
      <c r="P21">
        <f t="shared" ca="1" si="4"/>
        <v>8.0019197766655489E-2</v>
      </c>
    </row>
    <row r="22" spans="1:16" x14ac:dyDescent="0.25">
      <c r="A22">
        <v>17</v>
      </c>
      <c r="B22" s="37">
        <v>44943</v>
      </c>
      <c r="C22">
        <v>81.95963805089778</v>
      </c>
      <c r="D22">
        <v>81.756934993142522</v>
      </c>
      <c r="E22">
        <v>81.496823486755346</v>
      </c>
      <c r="F22">
        <v>81.245645102809746</v>
      </c>
      <c r="G22">
        <v>81.848649837444924</v>
      </c>
      <c r="H22">
        <f t="shared" ca="1" si="0"/>
        <v>81.499801194235872</v>
      </c>
      <c r="I22">
        <f t="shared" ca="1" si="1"/>
        <v>81.674225515840391</v>
      </c>
      <c r="N22">
        <f t="shared" si="2"/>
        <v>1.2318383525456757E-2</v>
      </c>
      <c r="O22">
        <f t="shared" ca="1" si="3"/>
        <v>0.21144993474470472</v>
      </c>
      <c r="P22">
        <f t="shared" ca="1" si="4"/>
        <v>8.14603151678856E-2</v>
      </c>
    </row>
    <row r="23" spans="1:16" x14ac:dyDescent="0.25">
      <c r="A23">
        <v>18</v>
      </c>
      <c r="B23" s="38">
        <v>44944</v>
      </c>
      <c r="C23">
        <v>81.886465268545422</v>
      </c>
      <c r="D23">
        <v>81.95963805089778</v>
      </c>
      <c r="E23">
        <v>81.756934993142522</v>
      </c>
      <c r="F23">
        <v>81.496823486755346</v>
      </c>
      <c r="G23">
        <v>82.06157407127219</v>
      </c>
      <c r="H23">
        <f t="shared" ca="1" si="0"/>
        <v>81.737798843598554</v>
      </c>
      <c r="I23">
        <f t="shared" ca="1" si="1"/>
        <v>81.899686457435365</v>
      </c>
      <c r="N23">
        <f t="shared" si="2"/>
        <v>3.0663092792402303E-2</v>
      </c>
      <c r="O23">
        <f t="shared" ca="1" si="3"/>
        <v>2.2101705906482569E-2</v>
      </c>
      <c r="P23">
        <f t="shared" ca="1" si="4"/>
        <v>1.7479983566356258E-4</v>
      </c>
    </row>
    <row r="24" spans="1:16" x14ac:dyDescent="0.25">
      <c r="A24">
        <v>19</v>
      </c>
      <c r="B24" s="37">
        <v>44945</v>
      </c>
      <c r="C24">
        <v>81.974220059589186</v>
      </c>
      <c r="D24">
        <v>81.886465268545422</v>
      </c>
      <c r="E24">
        <v>81.95963805089778</v>
      </c>
      <c r="F24">
        <v>81.756934993142522</v>
      </c>
      <c r="G24">
        <v>82.03394767268621</v>
      </c>
      <c r="H24">
        <f t="shared" ca="1" si="0"/>
        <v>81.867679437528579</v>
      </c>
      <c r="I24">
        <f t="shared" ca="1" si="1"/>
        <v>81.950813555107402</v>
      </c>
      <c r="N24">
        <f t="shared" si="2"/>
        <v>3.5673877662678343E-3</v>
      </c>
      <c r="O24">
        <f t="shared" ca="1" si="3"/>
        <v>1.1350904149060979E-2</v>
      </c>
      <c r="P24">
        <f t="shared" ca="1" si="4"/>
        <v>5.4786445205577173E-4</v>
      </c>
    </row>
    <row r="25" spans="1:16" x14ac:dyDescent="0.25">
      <c r="A25">
        <v>20</v>
      </c>
      <c r="B25" s="38">
        <v>44946</v>
      </c>
      <c r="C25">
        <v>81.99523917121644</v>
      </c>
      <c r="D25">
        <v>81.974220059589186</v>
      </c>
      <c r="E25">
        <v>81.886465268545422</v>
      </c>
      <c r="F25">
        <v>81.95963805089778</v>
      </c>
      <c r="G25">
        <v>82.140943353738621</v>
      </c>
      <c r="H25">
        <f t="shared" ca="1" si="0"/>
        <v>81.940107793010796</v>
      </c>
      <c r="I25">
        <f t="shared" ca="1" si="1"/>
        <v>82.040525573374708</v>
      </c>
      <c r="N25">
        <f t="shared" si="2"/>
        <v>2.1229708804456966E-2</v>
      </c>
      <c r="O25">
        <f t="shared" ca="1" si="3"/>
        <v>3.0394688628537533E-3</v>
      </c>
      <c r="P25">
        <f t="shared" ca="1" si="4"/>
        <v>2.0508582204404168E-3</v>
      </c>
    </row>
    <row r="26" spans="1:16" x14ac:dyDescent="0.25">
      <c r="A26">
        <v>21</v>
      </c>
      <c r="B26" s="37">
        <v>44947</v>
      </c>
      <c r="C26">
        <v>82.084044917841567</v>
      </c>
      <c r="D26">
        <v>81.99523917121644</v>
      </c>
      <c r="E26">
        <v>81.974220059589186</v>
      </c>
      <c r="F26">
        <v>81.886465268545422</v>
      </c>
      <c r="G26">
        <v>82.14820832168428</v>
      </c>
      <c r="H26">
        <f t="shared" ca="1" si="0"/>
        <v>81.951974833117006</v>
      </c>
      <c r="I26">
        <f t="shared" ca="1" si="1"/>
        <v>82.05009157740065</v>
      </c>
      <c r="N26">
        <f t="shared" si="2"/>
        <v>4.1169423926830512E-3</v>
      </c>
      <c r="O26">
        <f t="shared" ca="1" si="3"/>
        <v>1.7442507279152558E-2</v>
      </c>
      <c r="P26">
        <f t="shared" ca="1" si="4"/>
        <v>1.1528293270967889E-3</v>
      </c>
    </row>
    <row r="27" spans="1:16" x14ac:dyDescent="0.25">
      <c r="A27">
        <v>22</v>
      </c>
      <c r="B27" s="38">
        <v>44948</v>
      </c>
      <c r="C27">
        <v>82.390529839256359</v>
      </c>
      <c r="D27">
        <v>82.084044917841567</v>
      </c>
      <c r="E27">
        <v>81.99523917121644</v>
      </c>
      <c r="F27">
        <v>81.974220059589186</v>
      </c>
      <c r="G27">
        <v>82.238818236778286</v>
      </c>
      <c r="H27">
        <f t="shared" ca="1" si="0"/>
        <v>82.017834716215731</v>
      </c>
      <c r="I27">
        <f t="shared" ca="1" si="1"/>
        <v>82.128326476497008</v>
      </c>
      <c r="N27">
        <f t="shared" si="2"/>
        <v>2.3016410326464953E-2</v>
      </c>
      <c r="O27">
        <f t="shared" ca="1" si="3"/>
        <v>0.13890165473826926</v>
      </c>
      <c r="P27">
        <f t="shared" ca="1" si="4"/>
        <v>6.8750603442311792E-2</v>
      </c>
    </row>
    <row r="28" spans="1:16" x14ac:dyDescent="0.25">
      <c r="A28">
        <v>23</v>
      </c>
      <c r="B28" s="37">
        <v>44949</v>
      </c>
      <c r="C28">
        <v>82.414570448180029</v>
      </c>
      <c r="D28">
        <v>82.390529839256359</v>
      </c>
      <c r="E28">
        <v>82.084044917841567</v>
      </c>
      <c r="F28">
        <v>81.99523917121644</v>
      </c>
      <c r="G28">
        <v>82.510408731690504</v>
      </c>
      <c r="H28">
        <f t="shared" ca="1" si="0"/>
        <v>82.156604642771455</v>
      </c>
      <c r="I28">
        <f t="shared" ca="1" si="1"/>
        <v>82.33350668723098</v>
      </c>
      <c r="N28">
        <f t="shared" si="2"/>
        <v>9.1849765862340501E-3</v>
      </c>
      <c r="O28">
        <f t="shared" ca="1" si="3"/>
        <v>6.6546356760094294E-2</v>
      </c>
      <c r="P28">
        <f t="shared" ca="1" si="4"/>
        <v>6.5713333392047038E-3</v>
      </c>
    </row>
    <row r="29" spans="1:16" x14ac:dyDescent="0.25">
      <c r="A29">
        <v>24</v>
      </c>
      <c r="B29" s="38">
        <v>44950</v>
      </c>
      <c r="C29">
        <v>82.638029878667197</v>
      </c>
      <c r="D29">
        <v>82.414570448180029</v>
      </c>
      <c r="E29">
        <v>82.390529839256359</v>
      </c>
      <c r="F29">
        <v>82.084044917841567</v>
      </c>
      <c r="G29">
        <v>82.542560060071224</v>
      </c>
      <c r="H29">
        <f t="shared" ca="1" si="0"/>
        <v>82.296381735092652</v>
      </c>
      <c r="I29">
        <f t="shared" ca="1" si="1"/>
        <v>82.419470897581931</v>
      </c>
      <c r="N29">
        <f t="shared" si="2"/>
        <v>9.1144862627479551E-3</v>
      </c>
      <c r="O29">
        <f t="shared" ca="1" si="3"/>
        <v>0.11672345400793313</v>
      </c>
      <c r="P29">
        <f t="shared" ca="1" si="4"/>
        <v>4.7768028213029737E-2</v>
      </c>
    </row>
    <row r="30" spans="1:16" x14ac:dyDescent="0.25">
      <c r="A30">
        <v>25</v>
      </c>
      <c r="B30" s="37">
        <v>44951</v>
      </c>
      <c r="C30">
        <v>82.766771937384078</v>
      </c>
      <c r="D30">
        <v>82.638029878667197</v>
      </c>
      <c r="E30">
        <v>82.414570448180029</v>
      </c>
      <c r="F30">
        <v>82.390529839256359</v>
      </c>
      <c r="G30">
        <v>82.783205394427455</v>
      </c>
      <c r="H30">
        <f t="shared" ca="1" si="0"/>
        <v>82.481043388701195</v>
      </c>
      <c r="I30">
        <f t="shared" ca="1" si="1"/>
        <v>82.632124391564332</v>
      </c>
      <c r="N30">
        <f t="shared" si="2"/>
        <v>2.7005851039650462E-4</v>
      </c>
      <c r="O30">
        <f t="shared" ca="1" si="3"/>
        <v>8.1640803532426573E-2</v>
      </c>
      <c r="P30">
        <f t="shared" ca="1" si="4"/>
        <v>1.8129961595280606E-2</v>
      </c>
    </row>
    <row r="31" spans="1:16" x14ac:dyDescent="0.25">
      <c r="A31">
        <v>26</v>
      </c>
      <c r="B31" s="38">
        <v>44952</v>
      </c>
      <c r="C31">
        <v>82.861620678602037</v>
      </c>
      <c r="D31">
        <v>82.766771937384078</v>
      </c>
      <c r="E31">
        <v>82.638029878667197</v>
      </c>
      <c r="F31">
        <v>82.414570448180029</v>
      </c>
      <c r="G31">
        <v>82.89836150862314</v>
      </c>
      <c r="H31">
        <f t="shared" ca="1" si="0"/>
        <v>82.60645742141044</v>
      </c>
      <c r="I31">
        <f t="shared" ca="1" si="1"/>
        <v>82.752409465016797</v>
      </c>
      <c r="N31">
        <f t="shared" si="2"/>
        <v>1.3498885906395475E-3</v>
      </c>
      <c r="O31">
        <f t="shared" ca="1" si="3"/>
        <v>6.5108287820625277E-2</v>
      </c>
      <c r="P31">
        <f t="shared" ca="1" si="4"/>
        <v>1.1927089172760983E-2</v>
      </c>
    </row>
    <row r="32" spans="1:16" x14ac:dyDescent="0.25">
      <c r="A32">
        <v>27</v>
      </c>
      <c r="B32" s="37">
        <v>44953</v>
      </c>
      <c r="C32">
        <v>83.145641424465211</v>
      </c>
      <c r="D32">
        <v>82.861620678602037</v>
      </c>
      <c r="E32">
        <v>82.766771937384078</v>
      </c>
      <c r="F32">
        <v>82.638029878667197</v>
      </c>
      <c r="G32">
        <v>83.013367458365892</v>
      </c>
      <c r="H32">
        <f t="shared" ca="1" si="0"/>
        <v>82.755474164884433</v>
      </c>
      <c r="I32">
        <f t="shared" ca="1" si="1"/>
        <v>82.884420811625162</v>
      </c>
      <c r="N32">
        <f t="shared" si="2"/>
        <v>1.7496402107643871E-2</v>
      </c>
      <c r="O32">
        <f t="shared" ca="1" si="3"/>
        <v>0.15223049044877432</v>
      </c>
      <c r="P32">
        <f t="shared" ca="1" si="4"/>
        <v>6.8236208572530627E-2</v>
      </c>
    </row>
    <row r="33" spans="1:16" x14ac:dyDescent="0.25">
      <c r="A33">
        <v>28</v>
      </c>
      <c r="B33" s="38">
        <v>44954</v>
      </c>
      <c r="C33">
        <v>83.285287147338735</v>
      </c>
      <c r="D33">
        <v>83.145641424465211</v>
      </c>
      <c r="E33">
        <v>82.861620678602037</v>
      </c>
      <c r="F33">
        <v>82.766771937384078</v>
      </c>
      <c r="G33">
        <v>83.28087751588734</v>
      </c>
      <c r="H33">
        <f t="shared" ca="1" si="0"/>
        <v>82.924678013483785</v>
      </c>
      <c r="I33">
        <f t="shared" ca="1" si="1"/>
        <v>83.102777764685555</v>
      </c>
      <c r="N33">
        <f t="shared" si="2"/>
        <v>1.944484953713248E-5</v>
      </c>
      <c r="O33">
        <f t="shared" ca="1" si="3"/>
        <v>0.13003894741961755</v>
      </c>
      <c r="P33">
        <f t="shared" ca="1" si="4"/>
        <v>3.3309674756444821E-2</v>
      </c>
    </row>
    <row r="34" spans="1:16" x14ac:dyDescent="0.25">
      <c r="A34">
        <v>29</v>
      </c>
      <c r="B34" s="37">
        <v>44955</v>
      </c>
      <c r="C34">
        <v>83.547631934336309</v>
      </c>
      <c r="D34">
        <v>83.285287147338735</v>
      </c>
      <c r="E34">
        <v>83.145641424465211</v>
      </c>
      <c r="F34">
        <v>82.861620678602037</v>
      </c>
      <c r="G34">
        <v>83.415540841063091</v>
      </c>
      <c r="H34">
        <f t="shared" ca="1" si="0"/>
        <v>83.097516416802009</v>
      </c>
      <c r="I34">
        <f t="shared" ca="1" si="1"/>
        <v>83.256528628932557</v>
      </c>
      <c r="N34">
        <f t="shared" si="2"/>
        <v>1.7448056922113861E-2</v>
      </c>
      <c r="O34">
        <f t="shared" ca="1" si="3"/>
        <v>0.20260397912517084</v>
      </c>
      <c r="P34">
        <f t="shared" ca="1" si="4"/>
        <v>8.4741134416989952E-2</v>
      </c>
    </row>
    <row r="35" spans="1:16" x14ac:dyDescent="0.25">
      <c r="A35">
        <v>30</v>
      </c>
      <c r="B35" s="38">
        <v>44956</v>
      </c>
      <c r="C35">
        <v>83.749546775405548</v>
      </c>
      <c r="D35">
        <v>83.547631934336309</v>
      </c>
      <c r="E35">
        <v>83.285287147338735</v>
      </c>
      <c r="F35">
        <v>83.145641424465211</v>
      </c>
      <c r="G35">
        <v>83.686346347950192</v>
      </c>
      <c r="H35">
        <f t="shared" ca="1" si="0"/>
        <v>83.326186835380085</v>
      </c>
      <c r="I35">
        <f t="shared" ca="1" si="1"/>
        <v>83.506266591665138</v>
      </c>
      <c r="N35">
        <f t="shared" si="2"/>
        <v>3.994294030539791E-3</v>
      </c>
      <c r="O35">
        <f t="shared" ca="1" si="3"/>
        <v>0.17923363881836388</v>
      </c>
      <c r="P35">
        <f t="shared" ca="1" si="4"/>
        <v>5.9185247800767622E-2</v>
      </c>
    </row>
    <row r="36" spans="1:16" ht="15.75" thickBot="1" x14ac:dyDescent="0.3">
      <c r="A36">
        <v>31</v>
      </c>
      <c r="B36" s="145">
        <v>44957</v>
      </c>
      <c r="C36">
        <v>83.748233080928841</v>
      </c>
      <c r="D36">
        <v>83.749546775405548</v>
      </c>
      <c r="E36">
        <v>83.547631934336309</v>
      </c>
      <c r="F36">
        <v>83.285287147338735</v>
      </c>
      <c r="G36">
        <v>83.882331483595777</v>
      </c>
      <c r="H36">
        <f t="shared" ca="1" si="0"/>
        <v>83.527488619026869</v>
      </c>
      <c r="I36">
        <f t="shared" ca="1" si="1"/>
        <v>83.704910051311316</v>
      </c>
      <c r="N36">
        <f t="shared" si="2"/>
        <v>1.7982381597823727E-2</v>
      </c>
      <c r="O36">
        <f t="shared" ca="1" si="3"/>
        <v>4.8728117460391386E-2</v>
      </c>
      <c r="P36">
        <f t="shared" ca="1" si="4"/>
        <v>1.8768848952409763E-3</v>
      </c>
    </row>
    <row r="42" spans="1:16" x14ac:dyDescent="0.25">
      <c r="A42" s="93" t="s">
        <v>204</v>
      </c>
      <c r="B42" s="93" t="s">
        <v>131</v>
      </c>
      <c r="C42" s="94" t="s">
        <v>200</v>
      </c>
      <c r="D42" s="111" t="s">
        <v>283</v>
      </c>
      <c r="E42" s="83" t="s">
        <v>287</v>
      </c>
      <c r="F42" s="126" t="s">
        <v>316</v>
      </c>
      <c r="G42" s="130" t="s">
        <v>317</v>
      </c>
      <c r="H42" s="131"/>
      <c r="I42" s="131"/>
      <c r="N42" s="84" t="s">
        <v>320</v>
      </c>
      <c r="O42" s="126" t="s">
        <v>321</v>
      </c>
      <c r="P42" s="86" t="s">
        <v>322</v>
      </c>
    </row>
    <row r="43" spans="1:16" ht="15.75" thickBot="1" x14ac:dyDescent="0.3">
      <c r="A43">
        <v>1</v>
      </c>
      <c r="B43">
        <v>44927</v>
      </c>
      <c r="C43">
        <v>80</v>
      </c>
      <c r="H43" s="129"/>
      <c r="I43" s="129"/>
      <c r="K43" s="165" t="s">
        <v>323</v>
      </c>
      <c r="L43" s="165"/>
      <c r="M43" s="127" t="s">
        <v>324</v>
      </c>
      <c r="N43" s="132">
        <f>AVERAGE(N44:N73)</f>
        <v>2.5660282619049311E-2</v>
      </c>
      <c r="O43">
        <f>AVERAGE(O46:O73)</f>
        <v>8.0982574988393993E-2</v>
      </c>
      <c r="P43">
        <f>AVERAGE(P46:P73)</f>
        <v>1.0479694035787373E-2</v>
      </c>
    </row>
    <row r="44" spans="1:16" ht="15.75" thickBot="1" x14ac:dyDescent="0.3">
      <c r="A44">
        <v>2</v>
      </c>
      <c r="B44">
        <v>44928</v>
      </c>
      <c r="C44">
        <v>80.050577237353068</v>
      </c>
      <c r="D44">
        <v>80</v>
      </c>
      <c r="E44">
        <f>$C$95*D44+$C$94</f>
        <v>80.104763028813366</v>
      </c>
      <c r="H44" s="129"/>
      <c r="I44" s="129"/>
      <c r="K44" s="128" t="s">
        <v>318</v>
      </c>
      <c r="L44" s="124">
        <v>0.9890789799049472</v>
      </c>
      <c r="N44">
        <f>(D44-C44)^2</f>
        <v>2.5580569382685279E-3</v>
      </c>
    </row>
    <row r="45" spans="1:16" x14ac:dyDescent="0.25">
      <c r="A45">
        <v>3</v>
      </c>
      <c r="B45">
        <v>44929</v>
      </c>
      <c r="C45">
        <v>80.161321681739125</v>
      </c>
      <c r="D45">
        <v>80.050577237353068</v>
      </c>
      <c r="E45">
        <f t="shared" ref="E45:E73" si="5">$C$95*D45+$C$94</f>
        <v>80.155953428189548</v>
      </c>
      <c r="H45" s="129"/>
      <c r="I45" s="129"/>
      <c r="K45" s="125" t="s">
        <v>319</v>
      </c>
      <c r="L45" s="124">
        <f>1-L44</f>
        <v>1.0921020095052802E-2</v>
      </c>
      <c r="N45">
        <f>(D45-C45)^2</f>
        <v>1.2264331962376526E-2</v>
      </c>
    </row>
    <row r="46" spans="1:16" x14ac:dyDescent="0.25">
      <c r="A46">
        <v>4</v>
      </c>
      <c r="B46">
        <v>44930</v>
      </c>
      <c r="C46">
        <v>80.385043851121637</v>
      </c>
      <c r="D46">
        <v>80.161321681739125</v>
      </c>
      <c r="E46">
        <f t="shared" si="5"/>
        <v>80.268040458511919</v>
      </c>
      <c r="F46">
        <v>80.07063297303074</v>
      </c>
      <c r="G46">
        <f>$L$44*E46+$L$45*F46</f>
        <v>80.265884567396071</v>
      </c>
      <c r="H46" s="129"/>
      <c r="I46" s="129"/>
      <c r="N46">
        <f t="shared" ref="N46:N73" si="6">(D46-C46)^2</f>
        <v>5.0051609073217387E-2</v>
      </c>
      <c r="O46">
        <f>(F46-C46)^2</f>
        <v>9.8854200261888597E-2</v>
      </c>
      <c r="P46">
        <f>(G46-C46)^2</f>
        <v>1.419893489798982E-2</v>
      </c>
    </row>
    <row r="47" spans="1:16" x14ac:dyDescent="0.25">
      <c r="A47">
        <v>5</v>
      </c>
      <c r="B47">
        <v>44931</v>
      </c>
      <c r="C47">
        <v>80.497233359432073</v>
      </c>
      <c r="D47">
        <v>80.385043851121637</v>
      </c>
      <c r="E47">
        <f t="shared" si="5"/>
        <v>80.494474874453786</v>
      </c>
      <c r="F47">
        <v>80.198980923404619</v>
      </c>
      <c r="G47">
        <f t="shared" ref="G47:G73" si="7">$L$44*E47+$L$45*F47</f>
        <v>80.491247779076417</v>
      </c>
      <c r="H47" s="129"/>
      <c r="I47" s="129"/>
      <c r="N47">
        <f t="shared" si="6"/>
        <v>1.2586485774937451E-2</v>
      </c>
      <c r="O47">
        <f t="shared" ref="O47:O73" si="8">(F47-C47)^2</f>
        <v>8.8954515596310471E-2</v>
      </c>
      <c r="P47">
        <f t="shared" ref="P47:P73" si="9">(G47-C47)^2</f>
        <v>3.582717219401362E-5</v>
      </c>
    </row>
    <row r="48" spans="1:16" x14ac:dyDescent="0.25">
      <c r="A48">
        <v>6</v>
      </c>
      <c r="B48">
        <v>44932</v>
      </c>
      <c r="C48">
        <v>80.676946763845038</v>
      </c>
      <c r="D48">
        <v>80.497233359432073</v>
      </c>
      <c r="E48">
        <f t="shared" si="5"/>
        <v>80.608024487615481</v>
      </c>
      <c r="F48">
        <v>80.34786629743094</v>
      </c>
      <c r="G48">
        <f t="shared" si="7"/>
        <v>80.605183294792596</v>
      </c>
      <c r="H48" s="129"/>
      <c r="I48" s="129"/>
      <c r="N48">
        <f t="shared" si="6"/>
        <v>3.2296907725697876E-2</v>
      </c>
      <c r="O48">
        <f t="shared" si="8"/>
        <v>0.10829395337532016</v>
      </c>
      <c r="P48">
        <f t="shared" si="9"/>
        <v>5.1499954904408035E-3</v>
      </c>
    </row>
    <row r="49" spans="1:16" x14ac:dyDescent="0.25">
      <c r="A49">
        <v>7</v>
      </c>
      <c r="B49">
        <v>44933</v>
      </c>
      <c r="C49">
        <v>80.67379389710095</v>
      </c>
      <c r="D49">
        <v>80.676946763845038</v>
      </c>
      <c r="E49">
        <f t="shared" si="5"/>
        <v>80.789916607996275</v>
      </c>
      <c r="F49">
        <v>80.519741324799568</v>
      </c>
      <c r="G49">
        <f t="shared" si="7"/>
        <v>80.786966018299296</v>
      </c>
      <c r="H49" s="129"/>
      <c r="I49" s="129"/>
      <c r="N49">
        <f t="shared" si="6"/>
        <v>9.9405687059767015E-6</v>
      </c>
      <c r="O49">
        <f t="shared" si="8"/>
        <v>2.3732195032672366E-2</v>
      </c>
      <c r="P49">
        <f t="shared" si="9"/>
        <v>1.2807929016533133E-2</v>
      </c>
    </row>
    <row r="50" spans="1:16" x14ac:dyDescent="0.25">
      <c r="A50">
        <v>8</v>
      </c>
      <c r="B50">
        <v>44934</v>
      </c>
      <c r="C50">
        <v>80.844311440176995</v>
      </c>
      <c r="D50">
        <v>80.67379389710095</v>
      </c>
      <c r="E50">
        <f t="shared" si="5"/>
        <v>80.786725518165028</v>
      </c>
      <c r="F50">
        <v>80.615991340126016</v>
      </c>
      <c r="G50">
        <f t="shared" si="7"/>
        <v>80.78486092677575</v>
      </c>
      <c r="H50" s="129"/>
      <c r="I50" s="129"/>
      <c r="N50">
        <f t="shared" si="6"/>
        <v>2.9076232496690804E-2</v>
      </c>
      <c r="O50">
        <f t="shared" si="8"/>
        <v>5.2130068087289122E-2</v>
      </c>
      <c r="P50">
        <f t="shared" si="9"/>
        <v>3.5343635436716203E-3</v>
      </c>
    </row>
    <row r="51" spans="1:16" x14ac:dyDescent="0.25">
      <c r="A51">
        <v>9</v>
      </c>
      <c r="B51">
        <v>44935</v>
      </c>
      <c r="C51">
        <v>81.02402484458996</v>
      </c>
      <c r="D51">
        <v>80.844311440176995</v>
      </c>
      <c r="E51">
        <f t="shared" si="5"/>
        <v>80.959310293204695</v>
      </c>
      <c r="F51">
        <v>80.731684033707651</v>
      </c>
      <c r="G51">
        <f t="shared" si="7"/>
        <v>80.956824382250574</v>
      </c>
      <c r="H51" s="129"/>
      <c r="I51" s="129"/>
      <c r="N51">
        <f t="shared" si="6"/>
        <v>3.2296907725697876E-2</v>
      </c>
      <c r="O51">
        <f t="shared" si="8"/>
        <v>8.5463149707325506E-2</v>
      </c>
      <c r="P51">
        <f t="shared" si="9"/>
        <v>4.5159021386272412E-3</v>
      </c>
    </row>
    <row r="52" spans="1:16" x14ac:dyDescent="0.25">
      <c r="A52">
        <v>10</v>
      </c>
      <c r="B52">
        <v>44936</v>
      </c>
      <c r="C52">
        <v>81.031381533659498</v>
      </c>
      <c r="D52">
        <v>81.02402484458996</v>
      </c>
      <c r="E52">
        <f t="shared" si="5"/>
        <v>81.141202413585489</v>
      </c>
      <c r="F52">
        <v>80.847376727289301</v>
      </c>
      <c r="G52">
        <f t="shared" si="7"/>
        <v>81.137993537360998</v>
      </c>
      <c r="H52" s="129"/>
      <c r="I52" s="129"/>
      <c r="N52">
        <f t="shared" si="6"/>
        <v>5.4120874065873157E-5</v>
      </c>
      <c r="O52">
        <f t="shared" si="8"/>
        <v>3.3857768767333735E-2</v>
      </c>
      <c r="P52">
        <f t="shared" si="9"/>
        <v>1.1366119333248586E-2</v>
      </c>
    </row>
    <row r="53" spans="1:16" x14ac:dyDescent="0.25">
      <c r="A53">
        <v>11</v>
      </c>
      <c r="B53">
        <v>44937</v>
      </c>
      <c r="C53">
        <v>81.014828983253039</v>
      </c>
      <c r="D53">
        <v>81.031381533659498</v>
      </c>
      <c r="E53">
        <f t="shared" si="5"/>
        <v>81.148648289858386</v>
      </c>
      <c r="F53">
        <v>80.966572606142151</v>
      </c>
      <c r="G53">
        <f t="shared" si="7"/>
        <v>81.146659837657708</v>
      </c>
      <c r="H53" s="129"/>
      <c r="I53" s="129"/>
      <c r="N53">
        <f t="shared" si="6"/>
        <v>2.7398692495836526E-4</v>
      </c>
      <c r="O53">
        <f t="shared" si="8"/>
        <v>2.3286779318682925E-3</v>
      </c>
      <c r="P53">
        <f t="shared" si="9"/>
        <v>1.7379374173064954E-2</v>
      </c>
    </row>
    <row r="54" spans="1:16" x14ac:dyDescent="0.25">
      <c r="A54">
        <v>12</v>
      </c>
      <c r="B54">
        <v>44938</v>
      </c>
      <c r="C54">
        <v>81.134900658423689</v>
      </c>
      <c r="D54">
        <v>81.014828983253039</v>
      </c>
      <c r="E54">
        <f t="shared" si="5"/>
        <v>81.131895068244361</v>
      </c>
      <c r="F54">
        <v>81.023411787167504</v>
      </c>
      <c r="G54">
        <f t="shared" si="7"/>
        <v>81.130710320151749</v>
      </c>
      <c r="H54" s="129"/>
      <c r="I54" s="129"/>
      <c r="N54">
        <f t="shared" si="6"/>
        <v>1.441720717828595E-2</v>
      </c>
      <c r="O54">
        <f t="shared" si="8"/>
        <v>1.2429768413978196E-2</v>
      </c>
      <c r="P54">
        <f t="shared" si="9"/>
        <v>1.7558934833282664E-5</v>
      </c>
    </row>
    <row r="55" spans="1:16" x14ac:dyDescent="0.25">
      <c r="A55">
        <v>13</v>
      </c>
      <c r="B55">
        <v>44939</v>
      </c>
      <c r="C55">
        <v>81.239207999873898</v>
      </c>
      <c r="D55">
        <v>81.134900658423689</v>
      </c>
      <c r="E55">
        <f t="shared" si="5"/>
        <v>81.253422405984153</v>
      </c>
      <c r="F55">
        <v>81.060370391778747</v>
      </c>
      <c r="G55">
        <f t="shared" si="7"/>
        <v>81.251314081057615</v>
      </c>
      <c r="H55" s="129"/>
      <c r="I55" s="129"/>
      <c r="N55">
        <f t="shared" si="6"/>
        <v>1.0880021480410472E-2</v>
      </c>
      <c r="O55">
        <f t="shared" si="8"/>
        <v>3.1982890069194754E-2</v>
      </c>
      <c r="P55">
        <f t="shared" si="9"/>
        <v>1.465572016267422E-4</v>
      </c>
    </row>
    <row r="56" spans="1:16" x14ac:dyDescent="0.25">
      <c r="A56">
        <v>14</v>
      </c>
      <c r="B56">
        <v>44940</v>
      </c>
      <c r="C56">
        <v>81.245645102809746</v>
      </c>
      <c r="D56">
        <v>81.239207999873898</v>
      </c>
      <c r="E56">
        <f t="shared" si="5"/>
        <v>81.358994294567736</v>
      </c>
      <c r="F56">
        <v>81.129645880516875</v>
      </c>
      <c r="G56">
        <f t="shared" si="7"/>
        <v>81.356489575929118</v>
      </c>
      <c r="H56" s="129"/>
      <c r="I56" s="129"/>
      <c r="N56">
        <f t="shared" si="6"/>
        <v>4.1436294206707005E-5</v>
      </c>
      <c r="O56">
        <f t="shared" si="8"/>
        <v>1.3455819572550841E-2</v>
      </c>
      <c r="P56">
        <f t="shared" si="9"/>
        <v>1.2286497221111048E-2</v>
      </c>
    </row>
    <row r="57" spans="1:16" x14ac:dyDescent="0.25">
      <c r="A57">
        <v>15</v>
      </c>
      <c r="B57">
        <v>44941</v>
      </c>
      <c r="C57">
        <v>81.496823486755346</v>
      </c>
      <c r="D57">
        <v>81.245645102809746</v>
      </c>
      <c r="E57">
        <f t="shared" si="5"/>
        <v>81.365509436306525</v>
      </c>
      <c r="F57">
        <v>81.206584587035778</v>
      </c>
      <c r="G57">
        <f t="shared" si="7"/>
        <v>81.363773814834033</v>
      </c>
      <c r="H57" s="129"/>
      <c r="I57" s="129"/>
      <c r="N57">
        <f t="shared" si="6"/>
        <v>6.3090580561523293E-2</v>
      </c>
      <c r="O57">
        <f t="shared" si="8"/>
        <v>8.4238618910425805E-2</v>
      </c>
      <c r="P57">
        <f t="shared" si="9"/>
        <v>1.7702215198369026E-2</v>
      </c>
    </row>
    <row r="58" spans="1:16" x14ac:dyDescent="0.25">
      <c r="A58">
        <v>16</v>
      </c>
      <c r="B58">
        <v>44942</v>
      </c>
      <c r="C58">
        <v>81.756934993142522</v>
      </c>
      <c r="D58">
        <v>81.496823486755346</v>
      </c>
      <c r="E58">
        <f t="shared" si="5"/>
        <v>81.619732926195468</v>
      </c>
      <c r="F58">
        <v>81.327225529812992</v>
      </c>
      <c r="G58">
        <f t="shared" si="7"/>
        <v>81.61653844704162</v>
      </c>
      <c r="H58" s="129"/>
      <c r="I58" s="129"/>
      <c r="N58">
        <f t="shared" si="6"/>
        <v>6.7657995755005876E-2</v>
      </c>
      <c r="O58">
        <f t="shared" si="8"/>
        <v>0.18465022287495286</v>
      </c>
      <c r="P58">
        <f t="shared" si="9"/>
        <v>1.9711190157062769E-2</v>
      </c>
    </row>
    <row r="59" spans="1:16" x14ac:dyDescent="0.25">
      <c r="A59">
        <v>17</v>
      </c>
      <c r="B59">
        <v>44943</v>
      </c>
      <c r="C59">
        <v>81.95963805089778</v>
      </c>
      <c r="D59">
        <v>81.756934993142522</v>
      </c>
      <c r="E59">
        <f t="shared" si="5"/>
        <v>81.88299783727291</v>
      </c>
      <c r="F59">
        <v>81.499801194235872</v>
      </c>
      <c r="G59">
        <f t="shared" si="7"/>
        <v>81.878812939033935</v>
      </c>
      <c r="H59" s="129"/>
      <c r="I59" s="129"/>
      <c r="N59">
        <f t="shared" si="6"/>
        <v>4.1088529623331455E-2</v>
      </c>
      <c r="O59">
        <f t="shared" si="8"/>
        <v>0.21144993474470472</v>
      </c>
      <c r="P59">
        <f t="shared" si="9"/>
        <v>6.5326987078030939E-3</v>
      </c>
    </row>
    <row r="60" spans="1:16" x14ac:dyDescent="0.25">
      <c r="A60">
        <v>18</v>
      </c>
      <c r="B60">
        <v>44944</v>
      </c>
      <c r="C60">
        <v>81.886465268545422</v>
      </c>
      <c r="D60">
        <v>81.95963805089778</v>
      </c>
      <c r="E60">
        <f t="shared" si="5"/>
        <v>82.088158321006503</v>
      </c>
      <c r="F60">
        <v>81.737798843598554</v>
      </c>
      <c r="G60">
        <f t="shared" si="7"/>
        <v>82.084332038113232</v>
      </c>
      <c r="H60" s="129"/>
      <c r="I60" s="129"/>
      <c r="N60">
        <f t="shared" si="6"/>
        <v>5.3542560771856224E-3</v>
      </c>
      <c r="O60">
        <f t="shared" si="8"/>
        <v>2.2101705906482569E-2</v>
      </c>
      <c r="P60">
        <f t="shared" si="9"/>
        <v>3.9151258499200745E-2</v>
      </c>
    </row>
    <row r="61" spans="1:16" x14ac:dyDescent="0.25">
      <c r="A61">
        <v>19</v>
      </c>
      <c r="B61">
        <v>44945</v>
      </c>
      <c r="C61">
        <v>81.974220059589186</v>
      </c>
      <c r="D61">
        <v>81.886465268545422</v>
      </c>
      <c r="E61">
        <f t="shared" si="5"/>
        <v>82.014098444506416</v>
      </c>
      <c r="F61">
        <v>81.867679437528579</v>
      </c>
      <c r="G61">
        <f t="shared" si="7"/>
        <v>82.012499399588918</v>
      </c>
      <c r="H61" s="129"/>
      <c r="I61" s="129"/>
      <c r="N61">
        <f t="shared" si="6"/>
        <v>7.7009033511347101E-3</v>
      </c>
      <c r="O61">
        <f t="shared" si="8"/>
        <v>1.1350904149060979E-2</v>
      </c>
      <c r="P61">
        <f t="shared" si="9"/>
        <v>1.4653078708151239E-3</v>
      </c>
    </row>
    <row r="62" spans="1:16" x14ac:dyDescent="0.25">
      <c r="A62">
        <v>20</v>
      </c>
      <c r="B62">
        <v>44946</v>
      </c>
      <c r="C62">
        <v>81.99523917121644</v>
      </c>
      <c r="D62">
        <v>81.974220059589186</v>
      </c>
      <c r="E62">
        <f t="shared" si="5"/>
        <v>82.102917111475989</v>
      </c>
      <c r="F62">
        <v>81.940107793010796</v>
      </c>
      <c r="G62">
        <f t="shared" si="7"/>
        <v>82.101139067637376</v>
      </c>
      <c r="H62" s="129"/>
      <c r="I62" s="129"/>
      <c r="N62">
        <f t="shared" si="6"/>
        <v>4.4180305359896451E-4</v>
      </c>
      <c r="O62">
        <f t="shared" si="8"/>
        <v>3.0394688628537533E-3</v>
      </c>
      <c r="P62">
        <f t="shared" si="9"/>
        <v>1.1214788061965091E-2</v>
      </c>
    </row>
    <row r="63" spans="1:16" x14ac:dyDescent="0.25">
      <c r="A63">
        <v>21</v>
      </c>
      <c r="B63">
        <v>44947</v>
      </c>
      <c r="C63">
        <v>82.084044917841567</v>
      </c>
      <c r="D63">
        <v>81.99523917121644</v>
      </c>
      <c r="E63">
        <f t="shared" si="5"/>
        <v>82.124191043684277</v>
      </c>
      <c r="F63">
        <v>81.951974833117006</v>
      </c>
      <c r="G63">
        <f t="shared" si="7"/>
        <v>82.122310266987981</v>
      </c>
      <c r="H63" s="129"/>
      <c r="I63" s="129"/>
      <c r="N63">
        <f t="shared" si="6"/>
        <v>7.8864606336462306E-3</v>
      </c>
      <c r="O63">
        <f t="shared" si="8"/>
        <v>1.7442507279152558E-2</v>
      </c>
      <c r="P63">
        <f t="shared" si="9"/>
        <v>1.4642369452969664E-3</v>
      </c>
    </row>
    <row r="64" spans="1:16" x14ac:dyDescent="0.25">
      <c r="A64">
        <v>22</v>
      </c>
      <c r="B64">
        <v>44948</v>
      </c>
      <c r="C64">
        <v>82.390529839256359</v>
      </c>
      <c r="D64">
        <v>82.084044917841567</v>
      </c>
      <c r="E64">
        <f t="shared" si="5"/>
        <v>82.214073407264266</v>
      </c>
      <c r="F64">
        <v>82.017834716215731</v>
      </c>
      <c r="G64">
        <f t="shared" si="7"/>
        <v>82.211930280575899</v>
      </c>
      <c r="H64" s="129"/>
      <c r="I64" s="129"/>
      <c r="N64">
        <f t="shared" si="6"/>
        <v>9.3933007054631631E-2</v>
      </c>
      <c r="O64">
        <f t="shared" si="8"/>
        <v>0.13890165473826926</v>
      </c>
      <c r="P64">
        <f t="shared" si="9"/>
        <v>3.1897802360855182E-2</v>
      </c>
    </row>
    <row r="65" spans="1:16" x14ac:dyDescent="0.25">
      <c r="A65">
        <v>23</v>
      </c>
      <c r="B65">
        <v>44949</v>
      </c>
      <c r="C65">
        <v>82.414570448180029</v>
      </c>
      <c r="D65">
        <v>82.390529839256359</v>
      </c>
      <c r="E65">
        <f t="shared" si="5"/>
        <v>82.524273931276241</v>
      </c>
      <c r="F65">
        <v>82.156604642771455</v>
      </c>
      <c r="G65">
        <f t="shared" si="7"/>
        <v>82.520258607588147</v>
      </c>
      <c r="H65" s="129"/>
      <c r="I65" s="129"/>
      <c r="N65">
        <f t="shared" si="6"/>
        <v>5.7795087742084131E-4</v>
      </c>
      <c r="O65">
        <f t="shared" si="8"/>
        <v>6.6546356760094294E-2</v>
      </c>
      <c r="P65">
        <f t="shared" si="9"/>
        <v>1.1169987039075676E-2</v>
      </c>
    </row>
    <row r="66" spans="1:16" x14ac:dyDescent="0.25">
      <c r="A66">
        <v>24</v>
      </c>
      <c r="B66">
        <v>44950</v>
      </c>
      <c r="C66">
        <v>82.638029878667197</v>
      </c>
      <c r="D66">
        <v>82.414570448180029</v>
      </c>
      <c r="E66">
        <f t="shared" si="5"/>
        <v>82.548605991239469</v>
      </c>
      <c r="F66">
        <v>82.296381735092652</v>
      </c>
      <c r="G66">
        <f t="shared" si="7"/>
        <v>82.54585144506963</v>
      </c>
      <c r="H66" s="129"/>
      <c r="I66" s="129"/>
      <c r="N66">
        <f t="shared" si="6"/>
        <v>4.9934117073649364E-2</v>
      </c>
      <c r="O66">
        <f t="shared" si="8"/>
        <v>0.11672345400793313</v>
      </c>
      <c r="P66">
        <f t="shared" si="9"/>
        <v>8.4968636205011196E-3</v>
      </c>
    </row>
    <row r="67" spans="1:16" x14ac:dyDescent="0.25">
      <c r="A67">
        <v>25</v>
      </c>
      <c r="B67">
        <v>44951</v>
      </c>
      <c r="C67">
        <v>82.766771937384078</v>
      </c>
      <c r="D67">
        <v>82.638029878667197</v>
      </c>
      <c r="E67">
        <f t="shared" si="5"/>
        <v>82.774774483028722</v>
      </c>
      <c r="F67">
        <v>82.481043388701195</v>
      </c>
      <c r="G67">
        <f t="shared" si="7"/>
        <v>82.771566639845034</v>
      </c>
      <c r="H67" s="129"/>
      <c r="I67" s="129"/>
      <c r="N67">
        <f t="shared" si="6"/>
        <v>1.6574517682660848E-2</v>
      </c>
      <c r="O67">
        <f t="shared" si="8"/>
        <v>8.1640803532426573E-2</v>
      </c>
      <c r="P67">
        <f t="shared" si="9"/>
        <v>2.2989171689093602E-5</v>
      </c>
    </row>
    <row r="68" spans="1:16" x14ac:dyDescent="0.25">
      <c r="A68">
        <v>26</v>
      </c>
      <c r="B68">
        <v>44952</v>
      </c>
      <c r="C68">
        <v>82.861620678602037</v>
      </c>
      <c r="D68">
        <v>82.766771937384078</v>
      </c>
      <c r="E68">
        <f t="shared" si="5"/>
        <v>82.905077317804427</v>
      </c>
      <c r="F68">
        <v>82.60645742141044</v>
      </c>
      <c r="G68">
        <f t="shared" si="7"/>
        <v>82.901816083915122</v>
      </c>
      <c r="H68" s="129"/>
      <c r="I68" s="129"/>
      <c r="N68">
        <f t="shared" si="6"/>
        <v>8.9962837106313219E-3</v>
      </c>
      <c r="O68">
        <f t="shared" si="8"/>
        <v>6.5108287820625277E-2</v>
      </c>
      <c r="P68">
        <f t="shared" si="9"/>
        <v>1.615670608283188E-3</v>
      </c>
    </row>
    <row r="69" spans="1:16" x14ac:dyDescent="0.25">
      <c r="A69">
        <v>27</v>
      </c>
      <c r="B69">
        <v>44953</v>
      </c>
      <c r="C69">
        <v>83.145641424465211</v>
      </c>
      <c r="D69">
        <v>82.861620678602037</v>
      </c>
      <c r="E69">
        <f t="shared" si="5"/>
        <v>83.001075936894296</v>
      </c>
      <c r="F69">
        <v>82.755474164884433</v>
      </c>
      <c r="G69">
        <f t="shared" si="7"/>
        <v>82.998393715006799</v>
      </c>
      <c r="H69" s="129"/>
      <c r="I69" s="129"/>
      <c r="N69">
        <f t="shared" si="6"/>
        <v>8.0667784080673571E-2</v>
      </c>
      <c r="O69">
        <f t="shared" si="8"/>
        <v>0.15223049044877432</v>
      </c>
      <c r="P69">
        <f t="shared" si="9"/>
        <v>2.1681887940748958E-2</v>
      </c>
    </row>
    <row r="70" spans="1:16" x14ac:dyDescent="0.25">
      <c r="A70">
        <v>28</v>
      </c>
      <c r="B70">
        <v>44954</v>
      </c>
      <c r="C70">
        <v>83.285287147338735</v>
      </c>
      <c r="D70">
        <v>83.145641424465211</v>
      </c>
      <c r="E70">
        <f t="shared" si="5"/>
        <v>83.288539945858673</v>
      </c>
      <c r="F70">
        <v>82.924678013483785</v>
      </c>
      <c r="G70">
        <f t="shared" si="7"/>
        <v>83.284566202383388</v>
      </c>
      <c r="H70" s="129"/>
      <c r="I70" s="129"/>
      <c r="N70">
        <f t="shared" si="6"/>
        <v>1.9500927916869172E-2</v>
      </c>
      <c r="O70">
        <f t="shared" si="8"/>
        <v>0.13003894741961755</v>
      </c>
      <c r="P70">
        <f t="shared" si="9"/>
        <v>5.1976162864048377E-7</v>
      </c>
    </row>
    <row r="71" spans="1:16" x14ac:dyDescent="0.25">
      <c r="A71">
        <v>29</v>
      </c>
      <c r="B71">
        <v>44955</v>
      </c>
      <c r="C71">
        <v>83.547631934336309</v>
      </c>
      <c r="D71">
        <v>83.285287147338735</v>
      </c>
      <c r="E71">
        <f t="shared" si="5"/>
        <v>83.42987863296743</v>
      </c>
      <c r="F71">
        <v>83.097516416802009</v>
      </c>
      <c r="G71">
        <f t="shared" si="7"/>
        <v>83.426248898525841</v>
      </c>
      <c r="H71" s="129"/>
      <c r="I71" s="129"/>
      <c r="N71">
        <f t="shared" si="6"/>
        <v>6.8824787264802192E-2</v>
      </c>
      <c r="O71">
        <f t="shared" si="8"/>
        <v>0.20260397912517084</v>
      </c>
      <c r="P71">
        <f t="shared" si="9"/>
        <v>1.4733841382565182E-2</v>
      </c>
    </row>
    <row r="72" spans="1:16" x14ac:dyDescent="0.25">
      <c r="A72">
        <v>30</v>
      </c>
      <c r="B72">
        <v>44956</v>
      </c>
      <c r="C72">
        <v>83.749546775405548</v>
      </c>
      <c r="D72">
        <v>83.547631934336309</v>
      </c>
      <c r="E72">
        <f t="shared" si="5"/>
        <v>83.695403899342011</v>
      </c>
      <c r="F72">
        <v>83.326186835380085</v>
      </c>
      <c r="G72">
        <f t="shared" si="7"/>
        <v>83.69137167236704</v>
      </c>
      <c r="H72" s="129"/>
      <c r="I72" s="129"/>
      <c r="N72">
        <f t="shared" si="6"/>
        <v>4.076960304401625E-2</v>
      </c>
      <c r="O72">
        <f t="shared" si="8"/>
        <v>0.17923363881836388</v>
      </c>
      <c r="P72">
        <f t="shared" si="9"/>
        <v>3.3843426135410012E-3</v>
      </c>
    </row>
    <row r="73" spans="1:16" x14ac:dyDescent="0.25">
      <c r="A73">
        <v>31</v>
      </c>
      <c r="B73">
        <v>44957</v>
      </c>
      <c r="C73">
        <v>83.748233080928841</v>
      </c>
      <c r="D73">
        <v>83.749546775405548</v>
      </c>
      <c r="E73">
        <f t="shared" si="5"/>
        <v>83.899766610617789</v>
      </c>
      <c r="F73">
        <v>83.527488619026869</v>
      </c>
      <c r="G73">
        <f t="shared" si="7"/>
        <v>83.895700955190676</v>
      </c>
      <c r="H73" s="129"/>
      <c r="I73" s="129"/>
      <c r="N73">
        <f t="shared" si="6"/>
        <v>1.7257931781302896E-6</v>
      </c>
      <c r="O73">
        <f t="shared" si="8"/>
        <v>4.8728117460391386E-2</v>
      </c>
      <c r="P73">
        <f t="shared" si="9"/>
        <v>2.1746773939304426E-2</v>
      </c>
    </row>
    <row r="78" spans="1:16" x14ac:dyDescent="0.25">
      <c r="B78" t="s">
        <v>288</v>
      </c>
    </row>
    <row r="79" spans="1:16" ht="15.75" thickBot="1" x14ac:dyDescent="0.3"/>
    <row r="80" spans="1:16" x14ac:dyDescent="0.25">
      <c r="B80" s="113" t="s">
        <v>289</v>
      </c>
      <c r="C80" s="113"/>
    </row>
    <row r="81" spans="2:10" x14ac:dyDescent="0.25">
      <c r="B81" t="s">
        <v>290</v>
      </c>
      <c r="C81">
        <v>0.99565271324505367</v>
      </c>
    </row>
    <row r="82" spans="2:10" x14ac:dyDescent="0.25">
      <c r="B82" t="s">
        <v>291</v>
      </c>
      <c r="C82">
        <v>0.99132432539223714</v>
      </c>
    </row>
    <row r="83" spans="2:10" x14ac:dyDescent="0.25">
      <c r="B83" t="s">
        <v>292</v>
      </c>
      <c r="C83">
        <v>0.99101447987053137</v>
      </c>
    </row>
    <row r="84" spans="2:10" x14ac:dyDescent="0.25">
      <c r="B84" t="s">
        <v>293</v>
      </c>
      <c r="C84">
        <v>0.10292803055119275</v>
      </c>
    </row>
    <row r="85" spans="2:10" ht="15.75" thickBot="1" x14ac:dyDescent="0.3">
      <c r="B85" s="8" t="s">
        <v>256</v>
      </c>
      <c r="C85" s="8">
        <v>30</v>
      </c>
    </row>
    <row r="87" spans="2:10" ht="15.75" thickBot="1" x14ac:dyDescent="0.3">
      <c r="B87" t="s">
        <v>294</v>
      </c>
    </row>
    <row r="88" spans="2:10" x14ac:dyDescent="0.25">
      <c r="B88" s="79"/>
      <c r="C88" s="79" t="s">
        <v>258</v>
      </c>
      <c r="D88" s="79" t="s">
        <v>299</v>
      </c>
      <c r="E88" s="79" t="s">
        <v>300</v>
      </c>
      <c r="F88" s="79" t="s">
        <v>301</v>
      </c>
      <c r="G88" s="79" t="s">
        <v>302</v>
      </c>
    </row>
    <row r="89" spans="2:10" x14ac:dyDescent="0.25">
      <c r="B89" t="s">
        <v>295</v>
      </c>
      <c r="C89">
        <v>1</v>
      </c>
      <c r="D89">
        <v>33.895173832053736</v>
      </c>
      <c r="E89">
        <v>33.895173832053736</v>
      </c>
      <c r="F89">
        <v>3199.4147274894449</v>
      </c>
      <c r="G89">
        <v>2.0535028941934753E-30</v>
      </c>
    </row>
    <row r="90" spans="2:10" x14ac:dyDescent="0.25">
      <c r="B90" t="s">
        <v>296</v>
      </c>
      <c r="C90">
        <v>28</v>
      </c>
      <c r="D90">
        <v>0.29663702524812352</v>
      </c>
      <c r="E90">
        <v>1.0594179473147268E-2</v>
      </c>
    </row>
    <row r="91" spans="2:10" ht="15.75" thickBot="1" x14ac:dyDescent="0.3">
      <c r="B91" s="8" t="s">
        <v>297</v>
      </c>
      <c r="C91" s="8">
        <v>29</v>
      </c>
      <c r="D91" s="8">
        <v>34.19181085730186</v>
      </c>
      <c r="E91" s="8"/>
      <c r="F91" s="8"/>
      <c r="G91" s="8"/>
    </row>
    <row r="92" spans="2:10" ht="15.75" thickBot="1" x14ac:dyDescent="0.3"/>
    <row r="93" spans="2:10" x14ac:dyDescent="0.25">
      <c r="B93" s="79"/>
      <c r="C93" s="79" t="s">
        <v>303</v>
      </c>
      <c r="D93" s="79" t="s">
        <v>293</v>
      </c>
      <c r="E93" s="79" t="s">
        <v>259</v>
      </c>
      <c r="F93" s="79" t="s">
        <v>304</v>
      </c>
      <c r="G93" s="79" t="s">
        <v>305</v>
      </c>
      <c r="H93" s="79" t="s">
        <v>306</v>
      </c>
      <c r="I93" s="79" t="s">
        <v>307</v>
      </c>
      <c r="J93" s="79" t="s">
        <v>308</v>
      </c>
    </row>
    <row r="94" spans="2:10" x14ac:dyDescent="0.25">
      <c r="B94" t="s">
        <v>298</v>
      </c>
      <c r="C94">
        <v>-0.86509939182981554</v>
      </c>
      <c r="D94">
        <v>1.4613924755229755</v>
      </c>
      <c r="E94">
        <v>-0.59196923914654076</v>
      </c>
      <c r="F94">
        <v>0.55862129252025516</v>
      </c>
      <c r="G94">
        <v>-3.8586261756569105</v>
      </c>
      <c r="H94">
        <v>2.1284273919972794</v>
      </c>
      <c r="I94">
        <v>-3.8586261756569105</v>
      </c>
      <c r="J94">
        <v>2.1284273919972794</v>
      </c>
    </row>
    <row r="95" spans="2:10" ht="15.75" thickBot="1" x14ac:dyDescent="0.3">
      <c r="B95" s="8" t="s">
        <v>309</v>
      </c>
      <c r="C95" s="8">
        <v>1.0121232802580398</v>
      </c>
      <c r="D95" s="8">
        <v>1.7893617296871035E-2</v>
      </c>
      <c r="E95" s="8">
        <v>56.563369131350797</v>
      </c>
      <c r="F95" s="8">
        <v>2.0535028941934462E-30</v>
      </c>
      <c r="G95" s="8">
        <v>0.97546986679457826</v>
      </c>
      <c r="H95" s="8">
        <v>1.0487766937215013</v>
      </c>
      <c r="I95" s="8">
        <v>0.97546986679457826</v>
      </c>
      <c r="J95" s="8">
        <v>1.0487766937215013</v>
      </c>
    </row>
  </sheetData>
  <mergeCells count="2">
    <mergeCell ref="K6:L6"/>
    <mergeCell ref="K43:L43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28FED-D303-4589-A3C5-5547D311732A}">
  <sheetPr codeName="Sheet15"/>
  <dimension ref="A1:Z33"/>
  <sheetViews>
    <sheetView topLeftCell="A13" zoomScale="68" zoomScaleNormal="68" workbookViewId="0">
      <selection activeCell="M37" sqref="M37"/>
    </sheetView>
  </sheetViews>
  <sheetFormatPr defaultRowHeight="15" x14ac:dyDescent="0.25"/>
  <cols>
    <col min="1" max="1" width="5" bestFit="1" customWidth="1"/>
    <col min="2" max="2" width="11.28515625" customWidth="1"/>
    <col min="3" max="3" width="11.7109375" customWidth="1"/>
    <col min="4" max="4" width="16.42578125" bestFit="1" customWidth="1"/>
    <col min="5" max="7" width="16.5703125" bestFit="1" customWidth="1"/>
    <col min="8" max="8" width="26.42578125" bestFit="1" customWidth="1"/>
    <col min="9" max="9" width="34.28515625" bestFit="1" customWidth="1"/>
    <col min="10" max="10" width="17.42578125" bestFit="1" customWidth="1"/>
    <col min="11" max="11" width="17.42578125" customWidth="1"/>
    <col min="13" max="13" width="13.5703125" bestFit="1" customWidth="1"/>
    <col min="14" max="14" width="13.5703125" customWidth="1"/>
    <col min="18" max="18" width="18.140625" bestFit="1" customWidth="1"/>
    <col min="19" max="19" width="14.42578125" bestFit="1" customWidth="1"/>
    <col min="20" max="20" width="14.5703125" bestFit="1" customWidth="1"/>
    <col min="23" max="26" width="14.42578125" bestFit="1" customWidth="1"/>
  </cols>
  <sheetData>
    <row r="1" spans="1:26" ht="15.75" thickBot="1" x14ac:dyDescent="0.3">
      <c r="A1" s="93" t="s">
        <v>204</v>
      </c>
      <c r="B1" s="93" t="s">
        <v>131</v>
      </c>
      <c r="C1" s="94" t="s">
        <v>200</v>
      </c>
      <c r="D1" s="133" t="s">
        <v>325</v>
      </c>
      <c r="E1" s="133" t="s">
        <v>326</v>
      </c>
      <c r="F1" s="133" t="s">
        <v>327</v>
      </c>
      <c r="G1" s="133" t="s">
        <v>328</v>
      </c>
      <c r="H1" s="122" t="s">
        <v>329</v>
      </c>
      <c r="I1" s="134" t="s">
        <v>330</v>
      </c>
      <c r="J1" s="112" t="s">
        <v>331</v>
      </c>
      <c r="K1" s="108" t="s">
        <v>334</v>
      </c>
      <c r="L1" s="86" t="s">
        <v>332</v>
      </c>
      <c r="M1" s="137" t="s">
        <v>333</v>
      </c>
      <c r="N1" s="139"/>
    </row>
    <row r="2" spans="1:26" ht="15.75" thickBot="1" x14ac:dyDescent="0.3">
      <c r="A2">
        <v>1</v>
      </c>
      <c r="B2" s="37">
        <v>44927</v>
      </c>
      <c r="C2">
        <v>80</v>
      </c>
      <c r="I2" s="135"/>
      <c r="K2" s="138">
        <f ca="1">AVERAGE(K6:K32)</f>
        <v>1.0487306341920577E-2</v>
      </c>
      <c r="M2" s="138">
        <f ca="1">AVERAGE(M6:M32)</f>
        <v>7.1576870282999999E-2</v>
      </c>
      <c r="N2" s="140"/>
      <c r="R2" s="81" t="s">
        <v>288</v>
      </c>
      <c r="S2" s="82"/>
      <c r="T2" s="82"/>
      <c r="U2" s="82"/>
      <c r="V2" s="82"/>
      <c r="W2" s="82"/>
      <c r="X2" s="82"/>
      <c r="Y2" s="82"/>
      <c r="Z2" s="68"/>
    </row>
    <row r="3" spans="1:26" ht="15.75" thickBot="1" x14ac:dyDescent="0.3">
      <c r="A3">
        <v>2</v>
      </c>
      <c r="B3" s="38">
        <v>44928</v>
      </c>
      <c r="C3">
        <v>80.050577237353068</v>
      </c>
      <c r="D3">
        <f>C2-C3</f>
        <v>-5.0577237353067517E-2</v>
      </c>
      <c r="I3" s="123"/>
      <c r="O3" s="136" t="s">
        <v>318</v>
      </c>
      <c r="P3" s="91">
        <v>1</v>
      </c>
      <c r="R3" s="6"/>
      <c r="Z3" s="7"/>
    </row>
    <row r="4" spans="1:26" x14ac:dyDescent="0.25">
      <c r="A4">
        <v>3</v>
      </c>
      <c r="B4" s="37">
        <v>44929</v>
      </c>
      <c r="C4">
        <v>80.161321681739125</v>
      </c>
      <c r="D4">
        <f t="shared" ref="D4:D32" si="0">C3-C4</f>
        <v>-0.11074444438605724</v>
      </c>
      <c r="E4">
        <v>-5.0577237353067517E-2</v>
      </c>
      <c r="I4" s="123"/>
      <c r="O4" s="136" t="s">
        <v>319</v>
      </c>
      <c r="P4" s="91">
        <f>1-P3</f>
        <v>0</v>
      </c>
      <c r="Q4" s="99"/>
      <c r="R4" s="141" t="s">
        <v>289</v>
      </c>
      <c r="S4" s="113"/>
      <c r="Z4" s="7"/>
    </row>
    <row r="5" spans="1:26" x14ac:dyDescent="0.25">
      <c r="A5">
        <v>4</v>
      </c>
      <c r="B5" s="38">
        <v>44930</v>
      </c>
      <c r="C5">
        <v>80.385043851121637</v>
      </c>
      <c r="D5">
        <f t="shared" si="0"/>
        <v>-0.22372216938251199</v>
      </c>
      <c r="E5">
        <v>-0.11074444438605724</v>
      </c>
      <c r="F5">
        <v>-5.0577237353067517E-2</v>
      </c>
      <c r="I5" s="123"/>
      <c r="R5" s="6" t="s">
        <v>290</v>
      </c>
      <c r="S5">
        <v>9.9819165952504021E-2</v>
      </c>
      <c r="Z5" s="7"/>
    </row>
    <row r="6" spans="1:26" x14ac:dyDescent="0.25">
      <c r="A6">
        <v>5</v>
      </c>
      <c r="B6" s="37">
        <v>44931</v>
      </c>
      <c r="C6">
        <v>80.497233359432073</v>
      </c>
      <c r="D6">
        <f t="shared" si="0"/>
        <v>-0.11218950831043628</v>
      </c>
      <c r="E6">
        <v>-0.22372216938251199</v>
      </c>
      <c r="F6">
        <v>-0.11074444438605724</v>
      </c>
      <c r="G6">
        <v>-5.0577237353067517E-2</v>
      </c>
      <c r="H6">
        <f>$S$19*E6+$S$20*F6+$S$21*G6+$S$18</f>
        <v>-0.11939500900777572</v>
      </c>
      <c r="I6">
        <f ca="1">AVERAGE(OFFSET(D5,0,0,-3))</f>
        <v>-0.12834795037387892</v>
      </c>
      <c r="J6">
        <f ca="1">$P$3*H6+$P$4*I6</f>
        <v>-0.11939500900777572</v>
      </c>
      <c r="K6">
        <f ca="1">(J6-D6)^2</f>
        <v>5.1919240299359155E-5</v>
      </c>
      <c r="L6">
        <f>J5+C5</f>
        <v>80.385043851121637</v>
      </c>
      <c r="M6">
        <f>(L6-C6)^2</f>
        <v>1.2586485774937451E-2</v>
      </c>
      <c r="R6" s="6" t="s">
        <v>291</v>
      </c>
      <c r="S6">
        <v>9.9638658914535383E-3</v>
      </c>
      <c r="Z6" s="7"/>
    </row>
    <row r="7" spans="1:26" x14ac:dyDescent="0.25">
      <c r="A7">
        <v>6</v>
      </c>
      <c r="B7" s="38">
        <v>44932</v>
      </c>
      <c r="C7">
        <v>80.676946763845038</v>
      </c>
      <c r="D7">
        <f t="shared" si="0"/>
        <v>-0.17971340441296491</v>
      </c>
      <c r="E7">
        <v>-0.11218950831043628</v>
      </c>
      <c r="F7">
        <v>-0.22372216938251199</v>
      </c>
      <c r="G7">
        <v>-0.11074444438605724</v>
      </c>
      <c r="H7">
        <f t="shared" ref="H7:H32" si="1">$S$19*E7+$S$20*F7+$S$21*G7+$S$18</f>
        <v>-0.11974893438875402</v>
      </c>
      <c r="I7">
        <f t="shared" ref="I7:I32" ca="1" si="2">AVERAGE(OFFSET(D6,0,0,-3))</f>
        <v>-0.14888537402633517</v>
      </c>
      <c r="J7">
        <f t="shared" ref="J7:J32" ca="1" si="3">$P$3*H7+$P$4*I7</f>
        <v>-0.11974893438875402</v>
      </c>
      <c r="K7">
        <f t="shared" ref="K7:K32" ca="1" si="4">(J7-D7)^2</f>
        <v>3.5957376652844862E-3</v>
      </c>
      <c r="L7">
        <f t="shared" ref="L7:L33" ca="1" si="5">J6+C6</f>
        <v>80.377838350424298</v>
      </c>
      <c r="M7">
        <f t="shared" ref="M7:M32" ca="1" si="6">(L7-C7)^2</f>
        <v>8.9465842979072188E-2</v>
      </c>
      <c r="R7" s="6" t="s">
        <v>292</v>
      </c>
      <c r="S7">
        <v>-0.11917128203574817</v>
      </c>
      <c r="Z7" s="7"/>
    </row>
    <row r="8" spans="1:26" x14ac:dyDescent="0.25">
      <c r="A8">
        <v>7</v>
      </c>
      <c r="B8" s="37">
        <v>44933</v>
      </c>
      <c r="C8">
        <v>80.67379389710095</v>
      </c>
      <c r="D8">
        <f t="shared" si="0"/>
        <v>3.1528667440881009E-3</v>
      </c>
      <c r="E8">
        <v>-0.17971340441296491</v>
      </c>
      <c r="F8">
        <v>-0.11218950831043628</v>
      </c>
      <c r="G8">
        <v>-0.22372216938251199</v>
      </c>
      <c r="H8">
        <f t="shared" si="1"/>
        <v>-0.12120439952517276</v>
      </c>
      <c r="I8">
        <f t="shared" ca="1" si="2"/>
        <v>-0.17187502736863772</v>
      </c>
      <c r="J8">
        <f t="shared" ca="1" si="3"/>
        <v>-0.12120439952517276</v>
      </c>
      <c r="K8">
        <f t="shared" ca="1" si="4"/>
        <v>1.5464729673963845E-2</v>
      </c>
      <c r="L8">
        <f t="shared" ca="1" si="5"/>
        <v>80.557197829456285</v>
      </c>
      <c r="M8">
        <f t="shared" ca="1" si="6"/>
        <v>1.359464299019917E-2</v>
      </c>
      <c r="R8" s="6" t="s">
        <v>293</v>
      </c>
      <c r="S8">
        <v>0.1109557826601789</v>
      </c>
      <c r="Z8" s="7"/>
    </row>
    <row r="9" spans="1:26" ht="15.75" thickBot="1" x14ac:dyDescent="0.3">
      <c r="A9">
        <v>8</v>
      </c>
      <c r="B9" s="38">
        <v>44934</v>
      </c>
      <c r="C9">
        <v>80.844311440176995</v>
      </c>
      <c r="D9">
        <f t="shared" si="0"/>
        <v>-0.17051754307604483</v>
      </c>
      <c r="E9">
        <v>3.1528667440881009E-3</v>
      </c>
      <c r="F9">
        <v>-0.17971340441296491</v>
      </c>
      <c r="G9">
        <v>-0.11218950831043628</v>
      </c>
      <c r="H9">
        <f t="shared" si="1"/>
        <v>-0.13179832838074867</v>
      </c>
      <c r="I9">
        <f t="shared" ca="1" si="2"/>
        <v>-9.6250015326437691E-2</v>
      </c>
      <c r="J9">
        <f t="shared" ca="1" si="3"/>
        <v>-0.13179832838074867</v>
      </c>
      <c r="K9">
        <f t="shared" ca="1" si="4"/>
        <v>1.4991775866204377E-3</v>
      </c>
      <c r="L9">
        <f t="shared" ca="1" si="5"/>
        <v>80.552589497575781</v>
      </c>
      <c r="M9">
        <f t="shared" ca="1" si="6"/>
        <v>8.5101691795025913E-2</v>
      </c>
      <c r="R9" s="142" t="s">
        <v>256</v>
      </c>
      <c r="S9" s="8">
        <v>27</v>
      </c>
      <c r="Z9" s="7"/>
    </row>
    <row r="10" spans="1:26" x14ac:dyDescent="0.25">
      <c r="A10">
        <v>9</v>
      </c>
      <c r="B10" s="37">
        <v>44935</v>
      </c>
      <c r="C10">
        <v>81.02402484458996</v>
      </c>
      <c r="D10">
        <f t="shared" si="0"/>
        <v>-0.17971340441296491</v>
      </c>
      <c r="E10">
        <v>-0.17051754307604483</v>
      </c>
      <c r="F10">
        <v>3.1528667440881009E-3</v>
      </c>
      <c r="G10">
        <v>-0.17971340441296491</v>
      </c>
      <c r="H10">
        <f t="shared" si="1"/>
        <v>-0.13030483234895085</v>
      </c>
      <c r="I10">
        <f t="shared" ca="1" si="2"/>
        <v>-0.11569269358164054</v>
      </c>
      <c r="J10">
        <f t="shared" ca="1" si="3"/>
        <v>-0.13030483234895085</v>
      </c>
      <c r="K10">
        <f t="shared" ca="1" si="4"/>
        <v>2.4412069934048701E-3</v>
      </c>
      <c r="L10">
        <f t="shared" ca="1" si="5"/>
        <v>80.712513111796241</v>
      </c>
      <c r="M10">
        <f t="shared" ca="1" si="6"/>
        <v>9.7039559668145051E-2</v>
      </c>
      <c r="R10" s="6"/>
      <c r="Z10" s="7"/>
    </row>
    <row r="11" spans="1:26" ht="15.75" thickBot="1" x14ac:dyDescent="0.3">
      <c r="A11">
        <v>10</v>
      </c>
      <c r="B11" s="38">
        <v>44936</v>
      </c>
      <c r="C11">
        <v>81.031381533659498</v>
      </c>
      <c r="D11">
        <f t="shared" si="0"/>
        <v>-7.356689069538902E-3</v>
      </c>
      <c r="E11">
        <v>-0.17971340441296491</v>
      </c>
      <c r="F11">
        <v>-0.17051754307604483</v>
      </c>
      <c r="G11">
        <v>3.1528667440881009E-3</v>
      </c>
      <c r="H11">
        <f t="shared" si="1"/>
        <v>-0.1191658835386101</v>
      </c>
      <c r="I11">
        <f t="shared" ca="1" si="2"/>
        <v>-0.11569269358164054</v>
      </c>
      <c r="J11">
        <f t="shared" ca="1" si="3"/>
        <v>-0.1191658835386101</v>
      </c>
      <c r="K11">
        <f t="shared" ca="1" si="4"/>
        <v>1.2501295967822582E-2</v>
      </c>
      <c r="L11">
        <f t="shared" ca="1" si="5"/>
        <v>80.893720012241005</v>
      </c>
      <c r="M11">
        <f t="shared" ca="1" si="6"/>
        <v>1.8950694479254414E-2</v>
      </c>
      <c r="R11" s="6" t="s">
        <v>294</v>
      </c>
      <c r="Z11" s="7"/>
    </row>
    <row r="12" spans="1:26" x14ac:dyDescent="0.25">
      <c r="A12">
        <v>11</v>
      </c>
      <c r="B12" s="37">
        <v>44937</v>
      </c>
      <c r="C12">
        <v>81.014828983253039</v>
      </c>
      <c r="D12">
        <f t="shared" si="0"/>
        <v>1.6552550406458977E-2</v>
      </c>
      <c r="E12">
        <v>-7.356689069538902E-3</v>
      </c>
      <c r="F12">
        <v>-0.17971340441296491</v>
      </c>
      <c r="G12">
        <v>-0.17051754307604483</v>
      </c>
      <c r="H12">
        <f t="shared" si="1"/>
        <v>-0.13046203919319249</v>
      </c>
      <c r="I12">
        <f t="shared" ca="1" si="2"/>
        <v>-0.11919587885284955</v>
      </c>
      <c r="J12">
        <f t="shared" ca="1" si="3"/>
        <v>-0.13046203919319249</v>
      </c>
      <c r="K12">
        <f t="shared" ca="1" si="4"/>
        <v>2.1613289555153951E-2</v>
      </c>
      <c r="L12">
        <f t="shared" ca="1" si="5"/>
        <v>80.912215650120885</v>
      </c>
      <c r="M12">
        <f t="shared" ca="1" si="6"/>
        <v>1.0529496136490535E-2</v>
      </c>
      <c r="R12" s="143"/>
      <c r="S12" s="79" t="s">
        <v>258</v>
      </c>
      <c r="T12" s="79" t="s">
        <v>299</v>
      </c>
      <c r="U12" s="79" t="s">
        <v>300</v>
      </c>
      <c r="V12" s="79" t="s">
        <v>301</v>
      </c>
      <c r="W12" s="79" t="s">
        <v>302</v>
      </c>
      <c r="Z12" s="7"/>
    </row>
    <row r="13" spans="1:26" x14ac:dyDescent="0.25">
      <c r="A13">
        <v>12</v>
      </c>
      <c r="B13" s="38">
        <v>44938</v>
      </c>
      <c r="C13">
        <v>81.134900658423689</v>
      </c>
      <c r="D13">
        <f t="shared" si="0"/>
        <v>-0.12007167517064943</v>
      </c>
      <c r="E13">
        <v>1.6552550406458977E-2</v>
      </c>
      <c r="F13">
        <v>-7.356689069538902E-3</v>
      </c>
      <c r="G13">
        <v>-0.17971340441296491</v>
      </c>
      <c r="H13">
        <f t="shared" si="1"/>
        <v>-0.14419334262358727</v>
      </c>
      <c r="I13">
        <f t="shared" ca="1" si="2"/>
        <v>-5.6839181025348275E-2</v>
      </c>
      <c r="J13">
        <f t="shared" ca="1" si="3"/>
        <v>-0.14419334262358727</v>
      </c>
      <c r="K13">
        <f t="shared" ca="1" si="4"/>
        <v>5.8185484071012069E-4</v>
      </c>
      <c r="L13">
        <f t="shared" ca="1" si="5"/>
        <v>80.884366944059849</v>
      </c>
      <c r="M13">
        <f t="shared" ca="1" si="6"/>
        <v>6.2767142032942161E-2</v>
      </c>
      <c r="R13" s="6" t="s">
        <v>295</v>
      </c>
      <c r="S13">
        <v>3</v>
      </c>
      <c r="T13">
        <v>2.8497354586805579E-3</v>
      </c>
      <c r="U13">
        <v>9.49911819560186E-4</v>
      </c>
      <c r="V13">
        <v>7.7158434797864175E-2</v>
      </c>
      <c r="W13">
        <v>0.97171066335911727</v>
      </c>
      <c r="Z13" s="7"/>
    </row>
    <row r="14" spans="1:26" x14ac:dyDescent="0.25">
      <c r="A14">
        <v>13</v>
      </c>
      <c r="B14" s="37">
        <v>44939</v>
      </c>
      <c r="C14">
        <v>81.239207999873898</v>
      </c>
      <c r="D14">
        <f t="shared" si="0"/>
        <v>-0.10430734145020892</v>
      </c>
      <c r="E14">
        <v>-0.12007167517064943</v>
      </c>
      <c r="F14">
        <v>1.6552550406458977E-2</v>
      </c>
      <c r="G14">
        <v>-7.356689069538902E-3</v>
      </c>
      <c r="H14">
        <f t="shared" si="1"/>
        <v>-0.13669720291600429</v>
      </c>
      <c r="I14">
        <f t="shared" ca="1" si="2"/>
        <v>-3.6958604611243118E-2</v>
      </c>
      <c r="J14">
        <f t="shared" ca="1" si="3"/>
        <v>-0.13669720291600429</v>
      </c>
      <c r="K14">
        <f t="shared" ca="1" si="4"/>
        <v>1.0491031257734156E-3</v>
      </c>
      <c r="L14">
        <f t="shared" ca="1" si="5"/>
        <v>80.990707315800108</v>
      </c>
      <c r="M14">
        <f t="shared" ca="1" si="6"/>
        <v>6.1752589985141368E-2</v>
      </c>
      <c r="R14" s="6" t="s">
        <v>296</v>
      </c>
      <c r="S14">
        <v>23</v>
      </c>
      <c r="T14">
        <v>0.28315727123185569</v>
      </c>
      <c r="U14">
        <v>1.2311185705732856E-2</v>
      </c>
      <c r="Z14" s="7"/>
    </row>
    <row r="15" spans="1:26" ht="15.75" thickBot="1" x14ac:dyDescent="0.3">
      <c r="A15">
        <v>14</v>
      </c>
      <c r="B15" s="38">
        <v>44940</v>
      </c>
      <c r="C15">
        <v>81.245645102809746</v>
      </c>
      <c r="D15">
        <f t="shared" si="0"/>
        <v>-6.4371029358483156E-3</v>
      </c>
      <c r="E15">
        <v>-0.10430734145020892</v>
      </c>
      <c r="F15">
        <v>-0.12007167517064943</v>
      </c>
      <c r="G15">
        <v>1.6552550406458977E-2</v>
      </c>
      <c r="H15">
        <f t="shared" si="1"/>
        <v>-0.12867202451388696</v>
      </c>
      <c r="I15">
        <f t="shared" ca="1" si="2"/>
        <v>-6.927548873813312E-2</v>
      </c>
      <c r="J15">
        <f t="shared" ca="1" si="3"/>
        <v>-0.12867202451388696</v>
      </c>
      <c r="K15">
        <f t="shared" ca="1" si="4"/>
        <v>1.4941376053189256E-2</v>
      </c>
      <c r="L15">
        <f t="shared" ca="1" si="5"/>
        <v>81.102510796957887</v>
      </c>
      <c r="M15">
        <f t="shared" ca="1" si="6"/>
        <v>2.0487429511693595E-2</v>
      </c>
      <c r="R15" s="142" t="s">
        <v>297</v>
      </c>
      <c r="S15" s="8">
        <v>26</v>
      </c>
      <c r="T15" s="8">
        <v>0.28600700669053625</v>
      </c>
      <c r="U15" s="8"/>
      <c r="V15" s="8"/>
      <c r="W15" s="8"/>
      <c r="Z15" s="7"/>
    </row>
    <row r="16" spans="1:26" ht="15.75" thickBot="1" x14ac:dyDescent="0.3">
      <c r="A16">
        <v>15</v>
      </c>
      <c r="B16" s="37">
        <v>44941</v>
      </c>
      <c r="C16">
        <v>81.496823486755346</v>
      </c>
      <c r="D16">
        <f t="shared" si="0"/>
        <v>-0.2511783839456001</v>
      </c>
      <c r="E16">
        <v>-6.4371029358483156E-3</v>
      </c>
      <c r="F16">
        <v>-0.10430734145020892</v>
      </c>
      <c r="G16">
        <v>-0.12007167517064943</v>
      </c>
      <c r="H16">
        <f t="shared" si="1"/>
        <v>-0.13620505515035594</v>
      </c>
      <c r="I16">
        <f t="shared" ca="1" si="2"/>
        <v>-7.6938706518902222E-2</v>
      </c>
      <c r="J16">
        <f t="shared" ca="1" si="3"/>
        <v>-0.13620505515035594</v>
      </c>
      <c r="K16">
        <f t="shared" ca="1" si="4"/>
        <v>1.3218866334259321E-2</v>
      </c>
      <c r="L16">
        <f t="shared" ca="1" si="5"/>
        <v>81.116973078295857</v>
      </c>
      <c r="M16">
        <f t="shared" ca="1" si="6"/>
        <v>0.14428633280684108</v>
      </c>
      <c r="R16" s="6"/>
      <c r="Z16" s="7"/>
    </row>
    <row r="17" spans="1:26" x14ac:dyDescent="0.25">
      <c r="A17">
        <v>16</v>
      </c>
      <c r="B17" s="38">
        <v>44942</v>
      </c>
      <c r="C17">
        <v>81.756934993142522</v>
      </c>
      <c r="D17">
        <f t="shared" si="0"/>
        <v>-0.26011150638717595</v>
      </c>
      <c r="E17">
        <v>-0.2511783839456001</v>
      </c>
      <c r="F17">
        <v>-6.4371029358483156E-3</v>
      </c>
      <c r="G17">
        <v>-0.10430734145020892</v>
      </c>
      <c r="H17">
        <f t="shared" si="1"/>
        <v>-0.12400370890514066</v>
      </c>
      <c r="I17">
        <f t="shared" ca="1" si="2"/>
        <v>-0.12064094277721911</v>
      </c>
      <c r="J17">
        <f t="shared" ca="1" si="3"/>
        <v>-0.12400370890514066</v>
      </c>
      <c r="K17">
        <f t="shared" ca="1" si="4"/>
        <v>1.8525332535410728E-2</v>
      </c>
      <c r="L17">
        <f t="shared" ca="1" si="5"/>
        <v>81.360618431604991</v>
      </c>
      <c r="M17">
        <f t="shared" ca="1" si="6"/>
        <v>0.15706681694893215</v>
      </c>
      <c r="R17" s="143"/>
      <c r="S17" s="79" t="s">
        <v>303</v>
      </c>
      <c r="T17" s="79" t="s">
        <v>293</v>
      </c>
      <c r="U17" s="79" t="s">
        <v>259</v>
      </c>
      <c r="V17" s="79" t="s">
        <v>304</v>
      </c>
      <c r="W17" s="79" t="s">
        <v>305</v>
      </c>
      <c r="X17" s="79" t="s">
        <v>306</v>
      </c>
      <c r="Y17" s="79" t="s">
        <v>307</v>
      </c>
      <c r="Z17" s="144" t="s">
        <v>308</v>
      </c>
    </row>
    <row r="18" spans="1:26" x14ac:dyDescent="0.25">
      <c r="A18">
        <v>17</v>
      </c>
      <c r="B18" s="37">
        <v>44943</v>
      </c>
      <c r="C18">
        <v>81.95963805089778</v>
      </c>
      <c r="D18">
        <f t="shared" si="0"/>
        <v>-0.20270305775525799</v>
      </c>
      <c r="E18">
        <v>-0.26011150638717595</v>
      </c>
      <c r="F18">
        <v>-0.2511783839456001</v>
      </c>
      <c r="G18">
        <v>-6.4371029358483156E-3</v>
      </c>
      <c r="H18">
        <f t="shared" si="1"/>
        <v>-0.10720942844442202</v>
      </c>
      <c r="I18">
        <f t="shared" ca="1" si="2"/>
        <v>-0.17257566442287478</v>
      </c>
      <c r="J18">
        <f t="shared" ca="1" si="3"/>
        <v>-0.10720942844442202</v>
      </c>
      <c r="K18">
        <f t="shared" ca="1" si="4"/>
        <v>9.1190332389553489E-3</v>
      </c>
      <c r="L18">
        <f t="shared" ca="1" si="5"/>
        <v>81.632931284237387</v>
      </c>
      <c r="M18">
        <f t="shared" ca="1" si="6"/>
        <v>0.10673731138168885</v>
      </c>
      <c r="R18" s="6" t="s">
        <v>298</v>
      </c>
      <c r="S18">
        <v>-0.14499694423546153</v>
      </c>
      <c r="T18">
        <v>5.433644569973449E-2</v>
      </c>
      <c r="U18">
        <v>-2.6685025560324798</v>
      </c>
      <c r="V18">
        <v>1.3723720985602822E-2</v>
      </c>
      <c r="W18">
        <v>-0.25740044615533869</v>
      </c>
      <c r="X18">
        <v>-3.2593442315584364E-2</v>
      </c>
      <c r="Y18">
        <v>-0.25740044615533869</v>
      </c>
      <c r="Z18" s="7">
        <v>-3.2593442315584364E-2</v>
      </c>
    </row>
    <row r="19" spans="1:26" x14ac:dyDescent="0.25">
      <c r="A19">
        <v>18</v>
      </c>
      <c r="B19" s="38">
        <v>44944</v>
      </c>
      <c r="C19">
        <v>81.886465268545422</v>
      </c>
      <c r="D19">
        <f t="shared" si="0"/>
        <v>7.3172782352358468E-2</v>
      </c>
      <c r="E19">
        <v>-0.20270305775525799</v>
      </c>
      <c r="F19">
        <v>-0.26011150638717595</v>
      </c>
      <c r="G19">
        <v>-0.2511783839456001</v>
      </c>
      <c r="H19">
        <f t="shared" si="1"/>
        <v>-0.1089145893772818</v>
      </c>
      <c r="I19">
        <f t="shared" ca="1" si="2"/>
        <v>-0.237997649362678</v>
      </c>
      <c r="J19">
        <f t="shared" ca="1" si="3"/>
        <v>-0.1089145893772818</v>
      </c>
      <c r="K19">
        <f t="shared" ca="1" si="4"/>
        <v>3.3155810943408193E-2</v>
      </c>
      <c r="L19">
        <f t="shared" ca="1" si="5"/>
        <v>81.85242862245336</v>
      </c>
      <c r="M19">
        <f t="shared" ca="1" si="6"/>
        <v>1.1584932771962814E-3</v>
      </c>
      <c r="R19" s="6" t="s">
        <v>309</v>
      </c>
      <c r="S19">
        <v>-7.8135549583777802E-2</v>
      </c>
      <c r="T19">
        <v>0.21074319481782638</v>
      </c>
      <c r="U19">
        <v>-0.37076191072893644</v>
      </c>
      <c r="V19">
        <v>0.71420781804309241</v>
      </c>
      <c r="W19">
        <v>-0.51409106338769861</v>
      </c>
      <c r="X19">
        <v>0.35781996422014306</v>
      </c>
      <c r="Y19">
        <v>-0.51409106338769861</v>
      </c>
      <c r="Z19" s="7">
        <v>0.35781996422014306</v>
      </c>
    </row>
    <row r="20" spans="1:26" x14ac:dyDescent="0.25">
      <c r="A20">
        <v>19</v>
      </c>
      <c r="B20" s="37">
        <v>44945</v>
      </c>
      <c r="C20">
        <v>81.974220059589186</v>
      </c>
      <c r="D20">
        <f t="shared" si="0"/>
        <v>-8.7754791043764158E-2</v>
      </c>
      <c r="E20">
        <v>7.3172782352358468E-2</v>
      </c>
      <c r="F20">
        <v>-0.20270305775525799</v>
      </c>
      <c r="G20">
        <v>-0.26011150638717595</v>
      </c>
      <c r="H20">
        <f t="shared" si="1"/>
        <v>-0.13436982443161014</v>
      </c>
      <c r="I20">
        <f t="shared" ca="1" si="2"/>
        <v>-0.12988059393002516</v>
      </c>
      <c r="J20">
        <f t="shared" ca="1" si="3"/>
        <v>-0.13436982443161014</v>
      </c>
      <c r="K20">
        <f t="shared" ca="1" si="4"/>
        <v>2.1729613377499952E-3</v>
      </c>
      <c r="L20">
        <f t="shared" ca="1" si="5"/>
        <v>81.777550679168144</v>
      </c>
      <c r="M20">
        <f t="shared" ca="1" si="6"/>
        <v>3.8678845195196619E-2</v>
      </c>
      <c r="R20" s="6" t="s">
        <v>310</v>
      </c>
      <c r="S20">
        <v>-6.930019719419199E-2</v>
      </c>
      <c r="T20">
        <v>0.21312740620172216</v>
      </c>
      <c r="U20">
        <v>-0.32515854450272014</v>
      </c>
      <c r="V20">
        <v>0.74800041557889063</v>
      </c>
      <c r="W20">
        <v>-0.5101878280222566</v>
      </c>
      <c r="X20">
        <v>0.37158743363387259</v>
      </c>
      <c r="Y20">
        <v>-0.5101878280222566</v>
      </c>
      <c r="Z20" s="7">
        <v>0.37158743363387259</v>
      </c>
    </row>
    <row r="21" spans="1:26" ht="15.75" thickBot="1" x14ac:dyDescent="0.3">
      <c r="A21">
        <v>20</v>
      </c>
      <c r="B21" s="38">
        <v>44946</v>
      </c>
      <c r="C21">
        <v>81.99523917121644</v>
      </c>
      <c r="D21">
        <f t="shared" si="0"/>
        <v>-2.1019111627254006E-2</v>
      </c>
      <c r="E21">
        <v>-8.7754791043764158E-2</v>
      </c>
      <c r="F21">
        <v>7.3172782352358468E-2</v>
      </c>
      <c r="G21">
        <v>-0.20270305775525799</v>
      </c>
      <c r="H21">
        <f t="shared" si="1"/>
        <v>-0.14142090818014511</v>
      </c>
      <c r="I21">
        <f t="shared" ca="1" si="2"/>
        <v>-7.2428355482221221E-2</v>
      </c>
      <c r="J21">
        <f t="shared" ca="1" si="3"/>
        <v>-0.14142090818014511</v>
      </c>
      <c r="K21">
        <f t="shared" ca="1" si="4"/>
        <v>1.4496592613163779E-2</v>
      </c>
      <c r="L21">
        <f t="shared" ca="1" si="5"/>
        <v>81.83985023515757</v>
      </c>
      <c r="M21">
        <f t="shared" ca="1" si="6"/>
        <v>2.4145721449507537E-2</v>
      </c>
      <c r="R21" s="142" t="s">
        <v>311</v>
      </c>
      <c r="S21" s="8">
        <v>-8.8314182064775613E-3</v>
      </c>
      <c r="T21" s="8">
        <v>0.2182235535060289</v>
      </c>
      <c r="U21" s="8">
        <v>-4.0469592143423577E-2</v>
      </c>
      <c r="V21" s="8">
        <v>0.9680680017917288</v>
      </c>
      <c r="W21" s="8">
        <v>-0.46026123293941279</v>
      </c>
      <c r="X21" s="8">
        <v>0.44259839652645772</v>
      </c>
      <c r="Y21" s="8">
        <v>-0.46026123293941279</v>
      </c>
      <c r="Z21" s="69">
        <v>0.44259839652645772</v>
      </c>
    </row>
    <row r="22" spans="1:26" x14ac:dyDescent="0.25">
      <c r="A22">
        <v>21</v>
      </c>
      <c r="B22" s="37">
        <v>44947</v>
      </c>
      <c r="C22">
        <v>82.084044917841567</v>
      </c>
      <c r="D22">
        <f t="shared" si="0"/>
        <v>-8.8805746625126858E-2</v>
      </c>
      <c r="E22">
        <v>-2.1019111627254006E-2</v>
      </c>
      <c r="F22">
        <v>-8.7754791043764158E-2</v>
      </c>
      <c r="G22">
        <v>7.3172782352358468E-2</v>
      </c>
      <c r="H22">
        <f t="shared" si="1"/>
        <v>-0.13791939951492052</v>
      </c>
      <c r="I22">
        <f t="shared" ca="1" si="2"/>
        <v>-1.1867040106219898E-2</v>
      </c>
      <c r="J22">
        <f t="shared" ca="1" si="3"/>
        <v>-0.13791939951492052</v>
      </c>
      <c r="K22">
        <f t="shared" ca="1" si="4"/>
        <v>2.4121509001791375E-3</v>
      </c>
      <c r="L22">
        <f t="shared" ca="1" si="5"/>
        <v>81.853818263036288</v>
      </c>
      <c r="M22">
        <f t="shared" ca="1" si="6"/>
        <v>5.3004312582828859E-2</v>
      </c>
    </row>
    <row r="23" spans="1:26" x14ac:dyDescent="0.25">
      <c r="A23">
        <v>22</v>
      </c>
      <c r="B23" s="38">
        <v>44948</v>
      </c>
      <c r="C23">
        <v>82.390529839256359</v>
      </c>
      <c r="D23">
        <f t="shared" si="0"/>
        <v>-0.30648492141479267</v>
      </c>
      <c r="E23">
        <v>-8.8805746625126858E-2</v>
      </c>
      <c r="F23">
        <v>-2.1019111627254006E-2</v>
      </c>
      <c r="G23">
        <v>-8.7754791043764158E-2</v>
      </c>
      <c r="H23">
        <f t="shared" si="1"/>
        <v>-0.13582643057676455</v>
      </c>
      <c r="I23">
        <f t="shared" ca="1" si="2"/>
        <v>-6.5859883098715002E-2</v>
      </c>
      <c r="J23">
        <f t="shared" ca="1" si="3"/>
        <v>-0.13582643057676455</v>
      </c>
      <c r="K23">
        <f t="shared" ca="1" si="4"/>
        <v>2.9124320495113327E-2</v>
      </c>
      <c r="L23">
        <f t="shared" ca="1" si="5"/>
        <v>81.946125518326653</v>
      </c>
      <c r="M23">
        <f t="shared" ca="1" si="6"/>
        <v>0.19749520046099348</v>
      </c>
    </row>
    <row r="24" spans="1:26" x14ac:dyDescent="0.25">
      <c r="A24">
        <v>23</v>
      </c>
      <c r="B24" s="37">
        <v>44949</v>
      </c>
      <c r="C24">
        <v>82.414570448180029</v>
      </c>
      <c r="D24">
        <f t="shared" si="0"/>
        <v>-2.4040608923669993E-2</v>
      </c>
      <c r="E24">
        <v>-0.30648492141479267</v>
      </c>
      <c r="F24">
        <v>-8.8805746625126858E-2</v>
      </c>
      <c r="G24">
        <v>-2.1019111627254006E-2</v>
      </c>
      <c r="H24">
        <f t="shared" si="1"/>
        <v>-0.1147096921433681</v>
      </c>
      <c r="I24">
        <f t="shared" ca="1" si="2"/>
        <v>-0.13876992655572451</v>
      </c>
      <c r="J24">
        <f t="shared" ca="1" si="3"/>
        <v>-0.1147096921433681</v>
      </c>
      <c r="K24">
        <f t="shared" ca="1" si="4"/>
        <v>8.220882651900541E-3</v>
      </c>
      <c r="L24">
        <f t="shared" ca="1" si="5"/>
        <v>82.254703408679589</v>
      </c>
      <c r="M24">
        <f t="shared" ca="1" si="6"/>
        <v>2.5557470318635388E-2</v>
      </c>
    </row>
    <row r="25" spans="1:26" x14ac:dyDescent="0.25">
      <c r="A25">
        <v>24</v>
      </c>
      <c r="B25" s="38">
        <v>44950</v>
      </c>
      <c r="C25">
        <v>82.638029878667197</v>
      </c>
      <c r="D25">
        <f t="shared" si="0"/>
        <v>-0.22345943048716777</v>
      </c>
      <c r="E25">
        <v>-2.4040608923669993E-2</v>
      </c>
      <c r="F25">
        <v>-0.30648492141479267</v>
      </c>
      <c r="G25">
        <v>-8.8805746625126858E-2</v>
      </c>
      <c r="H25">
        <f t="shared" si="1"/>
        <v>-0.12109477186620535</v>
      </c>
      <c r="I25">
        <f t="shared" ca="1" si="2"/>
        <v>-0.13977709232119651</v>
      </c>
      <c r="J25">
        <f t="shared" ca="1" si="3"/>
        <v>-0.12109477186620535</v>
      </c>
      <c r="K25">
        <f t="shared" ca="1" si="4"/>
        <v>1.0478523334586175E-2</v>
      </c>
      <c r="L25">
        <f t="shared" ca="1" si="5"/>
        <v>82.299860756036665</v>
      </c>
      <c r="M25">
        <f t="shared" ca="1" si="6"/>
        <v>0.11435835550070386</v>
      </c>
    </row>
    <row r="26" spans="1:26" x14ac:dyDescent="0.25">
      <c r="A26">
        <v>25</v>
      </c>
      <c r="B26" s="37">
        <v>44951</v>
      </c>
      <c r="C26">
        <v>82.766771937384078</v>
      </c>
      <c r="D26">
        <f t="shared" si="0"/>
        <v>-0.12874205871688105</v>
      </c>
      <c r="E26">
        <v>-0.22345943048716777</v>
      </c>
      <c r="F26">
        <v>-2.4040608923669993E-2</v>
      </c>
      <c r="G26">
        <v>-0.30648492141479267</v>
      </c>
      <c r="H26">
        <f t="shared" si="1"/>
        <v>-0.12316410337059645</v>
      </c>
      <c r="I26">
        <f t="shared" ca="1" si="2"/>
        <v>-0.18466165360854347</v>
      </c>
      <c r="J26">
        <f t="shared" ca="1" si="3"/>
        <v>-0.12316410337059645</v>
      </c>
      <c r="K26">
        <f t="shared" ca="1" si="4"/>
        <v>3.1113585845144882E-5</v>
      </c>
      <c r="L26">
        <f t="shared" ca="1" si="5"/>
        <v>82.516935106800986</v>
      </c>
      <c r="M26">
        <f t="shared" ca="1" si="6"/>
        <v>6.2418441915804743E-2</v>
      </c>
    </row>
    <row r="27" spans="1:26" x14ac:dyDescent="0.25">
      <c r="A27">
        <v>26</v>
      </c>
      <c r="B27" s="38">
        <v>44952</v>
      </c>
      <c r="C27">
        <v>82.861620678602037</v>
      </c>
      <c r="D27">
        <f t="shared" si="0"/>
        <v>-9.4848741217958832E-2</v>
      </c>
      <c r="E27">
        <v>-0.12874205871688105</v>
      </c>
      <c r="F27">
        <v>-0.22345943048716777</v>
      </c>
      <c r="G27">
        <v>-2.4040608923669993E-2</v>
      </c>
      <c r="H27">
        <f t="shared" si="1"/>
        <v>-0.11923951745406516</v>
      </c>
      <c r="I27">
        <f t="shared" ca="1" si="2"/>
        <v>-0.12541403270923959</v>
      </c>
      <c r="J27">
        <f t="shared" ca="1" si="3"/>
        <v>-0.11923951745406516</v>
      </c>
      <c r="K27">
        <f t="shared" ca="1" si="4"/>
        <v>5.9490996539980938E-4</v>
      </c>
      <c r="L27">
        <f t="shared" ca="1" si="5"/>
        <v>82.64360783401348</v>
      </c>
      <c r="M27">
        <f t="shared" ca="1" si="6"/>
        <v>4.752960040559439E-2</v>
      </c>
    </row>
    <row r="28" spans="1:26" x14ac:dyDescent="0.25">
      <c r="A28">
        <v>27</v>
      </c>
      <c r="B28" s="37">
        <v>44953</v>
      </c>
      <c r="C28">
        <v>83.145641424465211</v>
      </c>
      <c r="D28">
        <f t="shared" si="0"/>
        <v>-0.28402074586317383</v>
      </c>
      <c r="E28">
        <v>-9.4848741217958832E-2</v>
      </c>
      <c r="F28">
        <v>-0.12874205871688105</v>
      </c>
      <c r="G28">
        <v>-0.22345943048716777</v>
      </c>
      <c r="H28">
        <f t="shared" si="1"/>
        <v>-0.12669057197398723</v>
      </c>
      <c r="I28">
        <f t="shared" ca="1" si="2"/>
        <v>-0.14901674347400254</v>
      </c>
      <c r="J28">
        <f t="shared" ca="1" si="3"/>
        <v>-0.12669057197398723</v>
      </c>
      <c r="K28">
        <f t="shared" ca="1" si="4"/>
        <v>2.4752783616001695E-2</v>
      </c>
      <c r="L28">
        <f t="shared" ca="1" si="5"/>
        <v>82.742381161147975</v>
      </c>
      <c r="M28">
        <f t="shared" ca="1" si="6"/>
        <v>0.16261883997068649</v>
      </c>
    </row>
    <row r="29" spans="1:26" x14ac:dyDescent="0.25">
      <c r="A29">
        <v>28</v>
      </c>
      <c r="B29" s="38">
        <v>44954</v>
      </c>
      <c r="C29">
        <v>83.285287147338735</v>
      </c>
      <c r="D29">
        <f t="shared" si="0"/>
        <v>-0.13964572287352439</v>
      </c>
      <c r="E29">
        <v>-0.28402074586317383</v>
      </c>
      <c r="F29">
        <v>-9.4848741217958832E-2</v>
      </c>
      <c r="G29">
        <v>-0.12874205871688105</v>
      </c>
      <c r="H29">
        <f t="shared" si="1"/>
        <v>-0.11509481573293086</v>
      </c>
      <c r="I29">
        <f t="shared" ca="1" si="2"/>
        <v>-0.1692038485993379</v>
      </c>
      <c r="J29">
        <f t="shared" ca="1" si="3"/>
        <v>-0.11509481573293086</v>
      </c>
      <c r="K29">
        <f t="shared" ca="1" si="4"/>
        <v>6.0274704142604656E-4</v>
      </c>
      <c r="L29">
        <f t="shared" ca="1" si="5"/>
        <v>83.01895085249123</v>
      </c>
      <c r="M29">
        <f t="shared" ca="1" si="6"/>
        <v>7.0935021953097352E-2</v>
      </c>
    </row>
    <row r="30" spans="1:26" x14ac:dyDescent="0.25">
      <c r="A30">
        <v>29</v>
      </c>
      <c r="B30" s="37">
        <v>44955</v>
      </c>
      <c r="C30">
        <v>83.547631934336309</v>
      </c>
      <c r="D30">
        <f t="shared" si="0"/>
        <v>-0.26234478699757346</v>
      </c>
      <c r="E30">
        <v>-0.13964572287352439</v>
      </c>
      <c r="F30">
        <v>-0.28402074586317383</v>
      </c>
      <c r="G30">
        <v>-9.4848741217958832E-2</v>
      </c>
      <c r="H30">
        <f t="shared" si="1"/>
        <v>-0.11356530633610157</v>
      </c>
      <c r="I30">
        <f t="shared" ca="1" si="2"/>
        <v>-0.17283840331821901</v>
      </c>
      <c r="J30">
        <f t="shared" ca="1" si="3"/>
        <v>-0.11356530633610157</v>
      </c>
      <c r="K30">
        <f t="shared" ca="1" si="4"/>
        <v>2.2135333865897291E-2</v>
      </c>
      <c r="L30">
        <f t="shared" ca="1" si="5"/>
        <v>83.170192331605804</v>
      </c>
      <c r="M30">
        <f t="shared" ca="1" si="6"/>
        <v>0.14246065370936103</v>
      </c>
    </row>
    <row r="31" spans="1:26" x14ac:dyDescent="0.25">
      <c r="A31">
        <v>30</v>
      </c>
      <c r="B31" s="38">
        <v>44956</v>
      </c>
      <c r="C31">
        <v>83.749546775405548</v>
      </c>
      <c r="D31">
        <f t="shared" si="0"/>
        <v>-0.20191484106923951</v>
      </c>
      <c r="E31">
        <v>-0.26234478699757346</v>
      </c>
      <c r="F31">
        <v>-0.13964572287352439</v>
      </c>
      <c r="G31">
        <v>-0.28402074586317383</v>
      </c>
      <c r="H31">
        <f t="shared" si="1"/>
        <v>-0.11231270800447291</v>
      </c>
      <c r="I31">
        <f t="shared" ca="1" si="2"/>
        <v>-0.22867041857809056</v>
      </c>
      <c r="J31">
        <f t="shared" ca="1" si="3"/>
        <v>-0.11231270800447291</v>
      </c>
      <c r="K31">
        <f t="shared" ca="1" si="4"/>
        <v>8.0285422497561425E-3</v>
      </c>
      <c r="L31">
        <f t="shared" ca="1" si="5"/>
        <v>83.43406662800021</v>
      </c>
      <c r="M31">
        <f t="shared" ca="1" si="6"/>
        <v>9.9527723406894156E-2</v>
      </c>
    </row>
    <row r="32" spans="1:26" ht="15.75" thickBot="1" x14ac:dyDescent="0.3">
      <c r="A32">
        <v>31</v>
      </c>
      <c r="B32" s="146">
        <v>44957</v>
      </c>
      <c r="C32">
        <v>83.748233080928841</v>
      </c>
      <c r="D32">
        <f t="shared" si="0"/>
        <v>1.3136944767069281E-3</v>
      </c>
      <c r="E32">
        <v>-0.20191484106923951</v>
      </c>
      <c r="F32">
        <v>-0.26234478699757346</v>
      </c>
      <c r="G32">
        <v>-0.13964572287352439</v>
      </c>
      <c r="H32">
        <f t="shared" si="1"/>
        <v>-0.10980640190815324</v>
      </c>
      <c r="I32">
        <f t="shared" ca="1" si="2"/>
        <v>-0.20130178364677911</v>
      </c>
      <c r="J32">
        <f t="shared" ca="1" si="3"/>
        <v>-0.10980640190815324</v>
      </c>
      <c r="K32">
        <f t="shared" ca="1" si="4"/>
        <v>1.2347675820580615E-2</v>
      </c>
      <c r="L32">
        <f t="shared" ca="1" si="5"/>
        <v>83.637234067401081</v>
      </c>
      <c r="M32">
        <f t="shared" ca="1" si="6"/>
        <v>1.232078100413582E-2</v>
      </c>
    </row>
    <row r="33" spans="1:13" ht="15.75" thickBot="1" x14ac:dyDescent="0.3">
      <c r="A33" s="147">
        <v>32</v>
      </c>
      <c r="B33" s="148">
        <v>44958</v>
      </c>
      <c r="C33" s="149"/>
      <c r="D33" s="149"/>
      <c r="E33" s="149"/>
      <c r="F33" s="149"/>
      <c r="G33" s="149"/>
      <c r="H33" s="149"/>
      <c r="I33" s="149"/>
      <c r="J33" s="149"/>
      <c r="K33" s="149"/>
      <c r="L33" s="149">
        <f t="shared" ca="1" si="5"/>
        <v>83.638426679020682</v>
      </c>
      <c r="M33" s="15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Variety of foods</vt:lpstr>
      <vt:lpstr>calorie diary</vt:lpstr>
      <vt:lpstr>calorie diary table</vt:lpstr>
      <vt:lpstr>calorie daily budget</vt:lpstr>
      <vt:lpstr>Daily habits</vt:lpstr>
      <vt:lpstr>Most preferred food &amp; exercise</vt:lpstr>
      <vt:lpstr>Calories Boxplots</vt:lpstr>
      <vt:lpstr>Normality_check</vt:lpstr>
      <vt:lpstr>T-test statistical important</vt:lpstr>
      <vt:lpstr>Time_Series_Forecast_mov_avg</vt:lpstr>
      <vt:lpstr>Optimization_mov_avg</vt:lpstr>
      <vt:lpstr>Time_Series_Forecast_AutoRegres</vt:lpstr>
      <vt:lpstr>Forecast_using_Macros</vt:lpstr>
      <vt:lpstr>Forecast_ARMA_ARIMA</vt:lpstr>
      <vt:lpstr>Optimization_ARIMA</vt:lpstr>
      <vt:lpstr>exercise</vt:lpstr>
      <vt:lpstr>food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2023-03-05T10:58:13Z</dcterms:modified>
</cp:coreProperties>
</file>